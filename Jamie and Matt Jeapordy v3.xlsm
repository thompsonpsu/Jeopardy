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\Documents\Jeopardy\"/>
    </mc:Choice>
  </mc:AlternateContent>
  <xr:revisionPtr revIDLastSave="0" documentId="13_ncr:1_{75C45DE2-A87D-4A3C-ADE9-8F729C5A8663}" xr6:coauthVersionLast="47" xr6:coauthVersionMax="47" xr10:uidLastSave="{00000000-0000-0000-0000-000000000000}"/>
  <bookViews>
    <workbookView xWindow="-120" yWindow="-120" windowWidth="29040" windowHeight="15840" tabRatio="858" activeTab="2" xr2:uid="{00000000-000D-0000-FFFF-FFFF00000000}"/>
  </bookViews>
  <sheets>
    <sheet name="TOTAL" sheetId="8" r:id="rId1"/>
    <sheet name="PLAY" sheetId="77" r:id="rId2"/>
    <sheet name="Sheet5" sheetId="78" r:id="rId3"/>
    <sheet name="Record" sheetId="79" r:id="rId4"/>
  </sheets>
  <definedNames>
    <definedName name="Round">PLAY!$A$1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3" i="79" l="1"/>
  <c r="O93" i="79" s="1"/>
  <c r="H93" i="79"/>
  <c r="P93" i="79" l="1"/>
  <c r="N92" i="79"/>
  <c r="P92" i="79" s="1"/>
  <c r="H92" i="79"/>
  <c r="N91" i="79"/>
  <c r="O91" i="79" s="1"/>
  <c r="H91" i="79"/>
  <c r="O92" i="79" l="1"/>
  <c r="P91" i="79"/>
  <c r="N90" i="79"/>
  <c r="H90" i="79"/>
  <c r="O90" i="79" s="1"/>
  <c r="P90" i="79" l="1"/>
  <c r="G82" i="79"/>
  <c r="P42" i="79" l="1"/>
  <c r="P43" i="79"/>
  <c r="P44" i="79"/>
  <c r="P54" i="79"/>
  <c r="P55" i="79"/>
  <c r="P56" i="79"/>
  <c r="O38" i="79"/>
  <c r="O48" i="79"/>
  <c r="O49" i="79"/>
  <c r="O50" i="79"/>
  <c r="N54" i="79"/>
  <c r="N55" i="79"/>
  <c r="N56" i="79"/>
  <c r="N57" i="79"/>
  <c r="N58" i="79"/>
  <c r="N59" i="79"/>
  <c r="N60" i="79"/>
  <c r="N61" i="79"/>
  <c r="N62" i="79"/>
  <c r="N63" i="79"/>
  <c r="N64" i="79"/>
  <c r="N65" i="79"/>
  <c r="N66" i="79"/>
  <c r="N67" i="79"/>
  <c r="N68" i="79"/>
  <c r="N69" i="79"/>
  <c r="N70" i="79"/>
  <c r="N71" i="79"/>
  <c r="N72" i="79"/>
  <c r="N73" i="79"/>
  <c r="N74" i="79"/>
  <c r="N75" i="79"/>
  <c r="N76" i="79"/>
  <c r="N77" i="79"/>
  <c r="N78" i="79"/>
  <c r="N79" i="79"/>
  <c r="N80" i="79"/>
  <c r="N81" i="79"/>
  <c r="N82" i="79"/>
  <c r="N83" i="79"/>
  <c r="N84" i="79"/>
  <c r="N85" i="79"/>
  <c r="N86" i="79"/>
  <c r="N87" i="79"/>
  <c r="N88" i="79"/>
  <c r="N89" i="79"/>
  <c r="H54" i="79"/>
  <c r="O54" i="79" s="1"/>
  <c r="H55" i="79"/>
  <c r="O55" i="79" s="1"/>
  <c r="H56" i="79"/>
  <c r="O56" i="79" s="1"/>
  <c r="H57" i="79"/>
  <c r="H58" i="79"/>
  <c r="O58" i="79" s="1"/>
  <c r="H59" i="79"/>
  <c r="H60" i="79"/>
  <c r="H61" i="79"/>
  <c r="H62" i="79"/>
  <c r="H63" i="79"/>
  <c r="H64" i="79"/>
  <c r="P64" i="79" s="1"/>
  <c r="H65" i="79"/>
  <c r="H66" i="79"/>
  <c r="H67" i="79"/>
  <c r="H68" i="79"/>
  <c r="H69" i="79"/>
  <c r="H70" i="79"/>
  <c r="H71" i="79"/>
  <c r="H72" i="79"/>
  <c r="P72" i="79" s="1"/>
  <c r="H73" i="79"/>
  <c r="P73" i="79" s="1"/>
  <c r="H74" i="79"/>
  <c r="H75" i="79"/>
  <c r="H76" i="79"/>
  <c r="H77" i="79"/>
  <c r="H78" i="79"/>
  <c r="H79" i="79"/>
  <c r="H80" i="79"/>
  <c r="P80" i="79" s="1"/>
  <c r="H81" i="79"/>
  <c r="H82" i="79"/>
  <c r="H83" i="79"/>
  <c r="H84" i="79"/>
  <c r="H85" i="79"/>
  <c r="H86" i="79"/>
  <c r="H87" i="79"/>
  <c r="H88" i="79"/>
  <c r="P88" i="79" s="1"/>
  <c r="H89" i="79"/>
  <c r="N53" i="79"/>
  <c r="H53" i="79"/>
  <c r="P53" i="79" s="1"/>
  <c r="N52" i="79"/>
  <c r="H52" i="79"/>
  <c r="O52" i="79" s="1"/>
  <c r="N51" i="79"/>
  <c r="H51" i="79"/>
  <c r="O51" i="79" s="1"/>
  <c r="N50" i="79"/>
  <c r="H50" i="79"/>
  <c r="P50" i="79" s="1"/>
  <c r="N49" i="79"/>
  <c r="H49" i="79"/>
  <c r="P49" i="79" s="1"/>
  <c r="N48" i="79"/>
  <c r="H48" i="79"/>
  <c r="P48" i="79" s="1"/>
  <c r="N47" i="79"/>
  <c r="H47" i="79"/>
  <c r="O47" i="79" s="1"/>
  <c r="N46" i="79"/>
  <c r="H46" i="79"/>
  <c r="P46" i="79" s="1"/>
  <c r="N45" i="79"/>
  <c r="H45" i="79"/>
  <c r="P45" i="79" s="1"/>
  <c r="N44" i="79"/>
  <c r="H44" i="79"/>
  <c r="O44" i="79" s="1"/>
  <c r="N43" i="79"/>
  <c r="H43" i="79"/>
  <c r="O43" i="79" s="1"/>
  <c r="N42" i="79"/>
  <c r="H42" i="79"/>
  <c r="O42" i="79" s="1"/>
  <c r="N41" i="79"/>
  <c r="H41" i="79"/>
  <c r="O41" i="79" s="1"/>
  <c r="N40" i="79"/>
  <c r="H40" i="79"/>
  <c r="O40" i="79" s="1"/>
  <c r="N39" i="79"/>
  <c r="H39" i="79"/>
  <c r="O39" i="79" s="1"/>
  <c r="N38" i="79"/>
  <c r="H38" i="79"/>
  <c r="P38" i="79" s="1"/>
  <c r="P52" i="79" l="1"/>
  <c r="O45" i="79"/>
  <c r="P51" i="79"/>
  <c r="P39" i="79"/>
  <c r="P40" i="79"/>
  <c r="P41" i="79"/>
  <c r="O46" i="79"/>
  <c r="O53" i="79"/>
  <c r="P47" i="79"/>
  <c r="P89" i="79"/>
  <c r="O89" i="79"/>
  <c r="O88" i="79"/>
  <c r="P87" i="79"/>
  <c r="O87" i="79"/>
  <c r="P86" i="79"/>
  <c r="O86" i="79"/>
  <c r="O85" i="79"/>
  <c r="P85" i="79"/>
  <c r="O84" i="79"/>
  <c r="P84" i="79"/>
  <c r="O83" i="79"/>
  <c r="P83" i="79"/>
  <c r="O82" i="79"/>
  <c r="P82" i="79"/>
  <c r="O81" i="79"/>
  <c r="P81" i="79"/>
  <c r="O80" i="79"/>
  <c r="P79" i="79"/>
  <c r="O79" i="79"/>
  <c r="O78" i="79"/>
  <c r="P78" i="79"/>
  <c r="O77" i="79"/>
  <c r="P77" i="79"/>
  <c r="O76" i="79"/>
  <c r="P76" i="79"/>
  <c r="P75" i="79"/>
  <c r="O75" i="79"/>
  <c r="O74" i="79"/>
  <c r="P74" i="79"/>
  <c r="O73" i="79"/>
  <c r="O72" i="79"/>
  <c r="P71" i="79"/>
  <c r="O71" i="79"/>
  <c r="O70" i="79"/>
  <c r="P70" i="79"/>
  <c r="O69" i="79"/>
  <c r="P69" i="79"/>
  <c r="O68" i="79"/>
  <c r="P68" i="79"/>
  <c r="O67" i="79"/>
  <c r="P67" i="79"/>
  <c r="O66" i="79"/>
  <c r="P66" i="79"/>
  <c r="O65" i="79"/>
  <c r="P65" i="79"/>
  <c r="O64" i="79"/>
  <c r="O63" i="79"/>
  <c r="P63" i="79"/>
  <c r="O62" i="79"/>
  <c r="P62" i="79"/>
  <c r="O61" i="79"/>
  <c r="P61" i="79"/>
  <c r="P60" i="79"/>
  <c r="O60" i="79"/>
  <c r="O59" i="79"/>
  <c r="P59" i="79"/>
  <c r="P58" i="79"/>
  <c r="P57" i="79"/>
  <c r="O57" i="79"/>
  <c r="N37" i="79"/>
  <c r="H37" i="79"/>
  <c r="N36" i="79"/>
  <c r="H36" i="79"/>
  <c r="N35" i="79"/>
  <c r="H35" i="79"/>
  <c r="N34" i="79"/>
  <c r="H34" i="79"/>
  <c r="N33" i="79"/>
  <c r="H33" i="79"/>
  <c r="N32" i="79"/>
  <c r="H32" i="79"/>
  <c r="P35" i="79" l="1"/>
  <c r="O35" i="79"/>
  <c r="P33" i="79"/>
  <c r="O33" i="79"/>
  <c r="P34" i="79"/>
  <c r="O34" i="79"/>
  <c r="P36" i="79"/>
  <c r="O36" i="79"/>
  <c r="P37" i="79"/>
  <c r="O37" i="79"/>
  <c r="P32" i="79"/>
  <c r="O32" i="79"/>
  <c r="N31" i="79"/>
  <c r="H31" i="79"/>
  <c r="N30" i="79"/>
  <c r="H30" i="79"/>
  <c r="N29" i="79"/>
  <c r="H29" i="79"/>
  <c r="N28" i="79"/>
  <c r="H28" i="79"/>
  <c r="N27" i="79"/>
  <c r="H27" i="79"/>
  <c r="N26" i="79"/>
  <c r="H26" i="79"/>
  <c r="N25" i="79"/>
  <c r="H25" i="79"/>
  <c r="P25" i="79" l="1"/>
  <c r="O25" i="79"/>
  <c r="O31" i="79"/>
  <c r="P31" i="79"/>
  <c r="P26" i="79"/>
  <c r="O26" i="79"/>
  <c r="O27" i="79"/>
  <c r="P27" i="79"/>
  <c r="O28" i="79"/>
  <c r="P28" i="79"/>
  <c r="O29" i="79"/>
  <c r="P29" i="79"/>
  <c r="P30" i="79"/>
  <c r="O30" i="79"/>
  <c r="N24" i="79"/>
  <c r="H24" i="79"/>
  <c r="N23" i="79"/>
  <c r="H23" i="79"/>
  <c r="H22" i="79"/>
  <c r="M16" i="79"/>
  <c r="O24" i="79" l="1"/>
  <c r="P24" i="79"/>
  <c r="P23" i="79"/>
  <c r="O23" i="79"/>
  <c r="N9" i="79"/>
  <c r="N10" i="79"/>
  <c r="N11" i="79"/>
  <c r="N12" i="79"/>
  <c r="N13" i="79"/>
  <c r="N14" i="79"/>
  <c r="N15" i="79"/>
  <c r="N16" i="79"/>
  <c r="N17" i="79"/>
  <c r="N18" i="79"/>
  <c r="N19" i="79"/>
  <c r="N20" i="79"/>
  <c r="N21" i="79"/>
  <c r="N2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N8" i="79"/>
  <c r="H8" i="79"/>
  <c r="P10" i="79" l="1"/>
  <c r="O10" i="79"/>
  <c r="O17" i="79"/>
  <c r="P17" i="79"/>
  <c r="O16" i="79"/>
  <c r="P16" i="79"/>
  <c r="O15" i="79"/>
  <c r="P15" i="79"/>
  <c r="P8" i="79"/>
  <c r="O8" i="79"/>
  <c r="P21" i="79"/>
  <c r="O21" i="79"/>
  <c r="P19" i="79"/>
  <c r="O19" i="79"/>
  <c r="P13" i="79"/>
  <c r="O13" i="79"/>
  <c r="O22" i="79"/>
  <c r="P11" i="79"/>
  <c r="O11" i="79"/>
  <c r="P9" i="79"/>
  <c r="O9" i="79"/>
  <c r="O20" i="79"/>
  <c r="P20" i="79"/>
  <c r="O18" i="79"/>
  <c r="P18" i="79"/>
  <c r="P14" i="79"/>
  <c r="O14" i="79"/>
  <c r="O12" i="79"/>
  <c r="P12" i="79"/>
  <c r="P22" i="79"/>
  <c r="N4" i="79"/>
  <c r="N5" i="79"/>
  <c r="N6" i="79"/>
  <c r="N7" i="79"/>
  <c r="N3" i="79"/>
  <c r="R3" i="79" s="1"/>
  <c r="H4" i="79"/>
  <c r="H5" i="79"/>
  <c r="H6" i="79"/>
  <c r="H7" i="79"/>
  <c r="H3" i="79"/>
  <c r="P3" i="79" l="1"/>
  <c r="O3" i="79"/>
  <c r="Q3" i="79"/>
  <c r="Q2" i="79"/>
  <c r="P7" i="79"/>
  <c r="O7" i="79"/>
  <c r="P6" i="79"/>
  <c r="O6" i="79"/>
  <c r="P5" i="79"/>
  <c r="O5" i="79"/>
  <c r="P4" i="79"/>
  <c r="O4" i="79"/>
  <c r="R2" i="79"/>
  <c r="R11" i="78"/>
  <c r="R4" i="79" l="1"/>
  <c r="Q4" i="79"/>
  <c r="S2" i="79"/>
  <c r="S12" i="78"/>
  <c r="W12" i="78"/>
  <c r="W11" i="78"/>
  <c r="S11" i="78"/>
  <c r="V12" i="78"/>
  <c r="R12" i="78"/>
  <c r="V11" i="78"/>
  <c r="T14" i="78" l="1"/>
  <c r="V13" i="78"/>
  <c r="R13" i="78"/>
  <c r="G2" i="77"/>
  <c r="E2" i="77"/>
  <c r="G1" i="77"/>
  <c r="E1" i="77"/>
  <c r="C1" i="77"/>
  <c r="B1" i="77"/>
  <c r="C11" i="8"/>
  <c r="B11" i="8"/>
  <c r="C10" i="8"/>
  <c r="B10" i="8"/>
  <c r="C76" i="8"/>
  <c r="C77" i="8"/>
  <c r="E76" i="8"/>
  <c r="F78" i="8"/>
  <c r="C78" i="8"/>
  <c r="C79" i="8"/>
  <c r="F77" i="8"/>
  <c r="E79" i="8"/>
  <c r="F76" i="8"/>
  <c r="B78" i="8"/>
  <c r="E78" i="8"/>
  <c r="B79" i="8"/>
  <c r="E77" i="8"/>
  <c r="B76" i="8"/>
  <c r="B77" i="8"/>
  <c r="F79" i="8"/>
  <c r="D79" i="8" l="1"/>
  <c r="G79" i="8"/>
  <c r="J2" i="77"/>
  <c r="I1" i="77"/>
  <c r="I2" i="77"/>
  <c r="D78" i="8"/>
  <c r="G78" i="8"/>
  <c r="D77" i="8"/>
  <c r="G77" i="8"/>
  <c r="G76" i="8"/>
  <c r="D76" i="8"/>
  <c r="F75" i="8"/>
  <c r="E74" i="8"/>
  <c r="C73" i="8"/>
  <c r="F73" i="8"/>
  <c r="C71" i="8"/>
  <c r="C72" i="8"/>
  <c r="B75" i="8"/>
  <c r="E72" i="8"/>
  <c r="F72" i="8"/>
  <c r="B73" i="8"/>
  <c r="B71" i="8"/>
  <c r="B72" i="8"/>
  <c r="E71" i="8"/>
  <c r="F74" i="8"/>
  <c r="C75" i="8"/>
  <c r="F71" i="8"/>
  <c r="E75" i="8"/>
  <c r="E73" i="8"/>
  <c r="C74" i="8"/>
  <c r="B74" i="8"/>
  <c r="D71" i="8" l="1"/>
  <c r="G71" i="8"/>
  <c r="D72" i="8"/>
  <c r="G72" i="8"/>
  <c r="G75" i="8"/>
  <c r="D75" i="8"/>
  <c r="D74" i="8"/>
  <c r="G74" i="8"/>
  <c r="D73" i="8"/>
  <c r="G73" i="8"/>
  <c r="C70" i="8"/>
  <c r="F66" i="8"/>
  <c r="E63" i="8"/>
  <c r="F67" i="8"/>
  <c r="F62" i="8"/>
  <c r="E65" i="8"/>
  <c r="B63" i="8"/>
  <c r="F63" i="8"/>
  <c r="F69" i="8"/>
  <c r="C69" i="8"/>
  <c r="F65" i="8"/>
  <c r="F64" i="8"/>
  <c r="E66" i="8"/>
  <c r="B62" i="8"/>
  <c r="F68" i="8"/>
  <c r="C65" i="8"/>
  <c r="E69" i="8"/>
  <c r="B69" i="8"/>
  <c r="B68" i="8"/>
  <c r="C63" i="8"/>
  <c r="E67" i="8"/>
  <c r="B70" i="8"/>
  <c r="F70" i="8"/>
  <c r="E64" i="8"/>
  <c r="B65" i="8"/>
  <c r="C66" i="8"/>
  <c r="B67" i="8"/>
  <c r="C68" i="8"/>
  <c r="B66" i="8"/>
  <c r="B64" i="8"/>
  <c r="C64" i="8"/>
  <c r="E68" i="8"/>
  <c r="C67" i="8"/>
  <c r="C62" i="8"/>
  <c r="E62" i="8"/>
  <c r="E70" i="8"/>
  <c r="D69" i="8" l="1"/>
  <c r="G69" i="8"/>
  <c r="D70" i="8"/>
  <c r="G70" i="8"/>
  <c r="D68" i="8"/>
  <c r="G68" i="8"/>
  <c r="G67" i="8"/>
  <c r="D67" i="8"/>
  <c r="D65" i="8"/>
  <c r="G65" i="8"/>
  <c r="D64" i="8"/>
  <c r="G64" i="8"/>
  <c r="D66" i="8"/>
  <c r="G66" i="8"/>
  <c r="D63" i="8"/>
  <c r="G63" i="8"/>
  <c r="D62" i="8"/>
  <c r="G62" i="8"/>
  <c r="C55" i="8"/>
  <c r="E21" i="8"/>
  <c r="B35" i="8"/>
  <c r="F13" i="8"/>
  <c r="C31" i="8"/>
  <c r="F35" i="8"/>
  <c r="E30" i="8"/>
  <c r="F14" i="8"/>
  <c r="F53" i="8"/>
  <c r="C57" i="8"/>
  <c r="E18" i="8"/>
  <c r="B45" i="8"/>
  <c r="C50" i="8"/>
  <c r="F43" i="8"/>
  <c r="C24" i="8"/>
  <c r="B28" i="8"/>
  <c r="B21" i="8"/>
  <c r="C12" i="8"/>
  <c r="C47" i="8"/>
  <c r="B58" i="8"/>
  <c r="B52" i="8"/>
  <c r="F48" i="8"/>
  <c r="C29" i="8"/>
  <c r="F34" i="8"/>
  <c r="B50" i="8"/>
  <c r="C37" i="8"/>
  <c r="E42" i="8"/>
  <c r="C13" i="8"/>
  <c r="B12" i="8"/>
  <c r="C51" i="8"/>
  <c r="C16" i="8"/>
  <c r="C36" i="8"/>
  <c r="E46" i="8"/>
  <c r="C53" i="8"/>
  <c r="F38" i="8"/>
  <c r="B31" i="8"/>
  <c r="B48" i="8"/>
  <c r="F17" i="8"/>
  <c r="E34" i="8"/>
  <c r="B40" i="8"/>
  <c r="E14" i="8"/>
  <c r="B43" i="8"/>
  <c r="F40" i="8"/>
  <c r="E25" i="8"/>
  <c r="C54" i="8"/>
  <c r="F31" i="8"/>
  <c r="B51" i="8"/>
  <c r="F32" i="8"/>
  <c r="F15" i="8"/>
  <c r="F37" i="8"/>
  <c r="B18" i="8"/>
  <c r="F22" i="8"/>
  <c r="F58" i="8"/>
  <c r="E55" i="8"/>
  <c r="E28" i="8"/>
  <c r="B38" i="8"/>
  <c r="B55" i="8"/>
  <c r="E24" i="8"/>
  <c r="F47" i="8"/>
  <c r="E26" i="8"/>
  <c r="B26" i="8"/>
  <c r="C19" i="8"/>
  <c r="E15" i="8"/>
  <c r="E33" i="8"/>
  <c r="E50" i="8"/>
  <c r="F44" i="8"/>
  <c r="C56" i="8"/>
  <c r="F50" i="8"/>
  <c r="E41" i="8"/>
  <c r="E35" i="8"/>
  <c r="C44" i="8"/>
  <c r="E31" i="8"/>
  <c r="C17" i="8"/>
  <c r="E51" i="8"/>
  <c r="C61" i="8"/>
  <c r="F24" i="8"/>
  <c r="B13" i="8"/>
  <c r="B16" i="8"/>
  <c r="C32" i="8"/>
  <c r="C33" i="8"/>
  <c r="C60" i="8"/>
  <c r="C52" i="8"/>
  <c r="E56" i="8"/>
  <c r="C30" i="8"/>
  <c r="C23" i="8"/>
  <c r="C49" i="8"/>
  <c r="E37" i="8"/>
  <c r="F54" i="8"/>
  <c r="C58" i="8"/>
  <c r="B42" i="8"/>
  <c r="F20" i="8"/>
  <c r="F30" i="8"/>
  <c r="F57" i="8"/>
  <c r="F21" i="8"/>
  <c r="C45" i="8"/>
  <c r="C41" i="8"/>
  <c r="E17" i="8"/>
  <c r="E61" i="8"/>
  <c r="F29" i="8"/>
  <c r="B57" i="8"/>
  <c r="E40" i="8"/>
  <c r="E52" i="8"/>
  <c r="E16" i="8"/>
  <c r="F33" i="8"/>
  <c r="E38" i="8"/>
  <c r="B23" i="8"/>
  <c r="F42" i="8"/>
  <c r="B56" i="8"/>
  <c r="B27" i="8"/>
  <c r="C15" i="8"/>
  <c r="E49" i="8"/>
  <c r="C14" i="8"/>
  <c r="C25" i="8"/>
  <c r="F28" i="8"/>
  <c r="E53" i="8"/>
  <c r="E58" i="8"/>
  <c r="B61" i="8"/>
  <c r="E29" i="8"/>
  <c r="B46" i="8"/>
  <c r="C20" i="8"/>
  <c r="F23" i="8"/>
  <c r="F46" i="8"/>
  <c r="F36" i="8"/>
  <c r="E20" i="8"/>
  <c r="F55" i="8"/>
  <c r="B22" i="8"/>
  <c r="C34" i="8"/>
  <c r="E43" i="8"/>
  <c r="B34" i="8"/>
  <c r="E12" i="8"/>
  <c r="E59" i="8"/>
  <c r="E13" i="8"/>
  <c r="E32" i="8"/>
  <c r="F61" i="8"/>
  <c r="E19" i="8"/>
  <c r="C48" i="8"/>
  <c r="F45" i="8"/>
  <c r="E48" i="8"/>
  <c r="B14" i="8"/>
  <c r="E57" i="8"/>
  <c r="E44" i="8"/>
  <c r="C21" i="8"/>
  <c r="E36" i="8"/>
  <c r="B47" i="8"/>
  <c r="C42" i="8"/>
  <c r="F52" i="8"/>
  <c r="B60" i="8"/>
  <c r="B59" i="8"/>
  <c r="C40" i="8"/>
  <c r="F26" i="8"/>
  <c r="B20" i="8"/>
  <c r="E47" i="8"/>
  <c r="C38" i="8"/>
  <c r="F18" i="8"/>
  <c r="C39" i="8"/>
  <c r="C35" i="8"/>
  <c r="B25" i="8"/>
  <c r="F56" i="8"/>
  <c r="B53" i="8"/>
  <c r="C43" i="8"/>
  <c r="F59" i="8"/>
  <c r="E23" i="8"/>
  <c r="F25" i="8"/>
  <c r="B19" i="8"/>
  <c r="B29" i="8"/>
  <c r="F51" i="8"/>
  <c r="C46" i="8"/>
  <c r="F41" i="8"/>
  <c r="E45" i="8"/>
  <c r="F60" i="8"/>
  <c r="C18" i="8"/>
  <c r="B39" i="8"/>
  <c r="B24" i="8"/>
  <c r="F19" i="8"/>
  <c r="C26" i="8"/>
  <c r="B30" i="8"/>
  <c r="E54" i="8"/>
  <c r="B17" i="8"/>
  <c r="B32" i="8"/>
  <c r="B44" i="8"/>
  <c r="E27" i="8"/>
  <c r="E60" i="8"/>
  <c r="B37" i="8"/>
  <c r="F49" i="8"/>
  <c r="C59" i="8"/>
  <c r="E22" i="8"/>
  <c r="B33" i="8"/>
  <c r="F27" i="8"/>
  <c r="B49" i="8"/>
  <c r="F12" i="8"/>
  <c r="C22" i="8"/>
  <c r="B41" i="8"/>
  <c r="B36" i="8"/>
  <c r="F16" i="8"/>
  <c r="C28" i="8"/>
  <c r="C27" i="8"/>
  <c r="F39" i="8"/>
  <c r="B54" i="8"/>
  <c r="B15" i="8"/>
  <c r="E39" i="8"/>
  <c r="G51" i="8" l="1"/>
  <c r="D51" i="8"/>
  <c r="G58" i="8"/>
  <c r="D58" i="8"/>
  <c r="D14" i="8"/>
  <c r="G14" i="8"/>
  <c r="G34" i="8"/>
  <c r="D34" i="8"/>
  <c r="D28" i="8"/>
  <c r="G28" i="8"/>
  <c r="J10" i="8"/>
  <c r="G22" i="8"/>
  <c r="D22" i="8"/>
  <c r="G42" i="8"/>
  <c r="D42" i="8"/>
  <c r="G49" i="8"/>
  <c r="D49" i="8"/>
  <c r="G48" i="8"/>
  <c r="D48" i="8"/>
  <c r="D32" i="8"/>
  <c r="G32" i="8"/>
  <c r="G16" i="8"/>
  <c r="D16" i="8"/>
  <c r="G47" i="8"/>
  <c r="D47" i="8"/>
  <c r="G31" i="8"/>
  <c r="D31" i="8"/>
  <c r="G15" i="8"/>
  <c r="D15" i="8"/>
  <c r="D10" i="8"/>
  <c r="I10" i="8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I24" i="8" s="1"/>
  <c r="I25" i="8" s="1"/>
  <c r="I26" i="8" s="1"/>
  <c r="I27" i="8" s="1"/>
  <c r="I28" i="8" s="1"/>
  <c r="I29" i="8" s="1"/>
  <c r="I30" i="8" s="1"/>
  <c r="I31" i="8" s="1"/>
  <c r="I32" i="8" s="1"/>
  <c r="I33" i="8" s="1"/>
  <c r="I34" i="8" s="1"/>
  <c r="I35" i="8" s="1"/>
  <c r="I36" i="8" s="1"/>
  <c r="I37" i="8" s="1"/>
  <c r="I38" i="8" s="1"/>
  <c r="I39" i="8" s="1"/>
  <c r="I40" i="8" s="1"/>
  <c r="I41" i="8" s="1"/>
  <c r="I42" i="8" s="1"/>
  <c r="I43" i="8" s="1"/>
  <c r="I44" i="8" s="1"/>
  <c r="I45" i="8" s="1"/>
  <c r="I46" i="8" s="1"/>
  <c r="I47" i="8" s="1"/>
  <c r="I48" i="8" s="1"/>
  <c r="I49" i="8" s="1"/>
  <c r="I50" i="8" s="1"/>
  <c r="I51" i="8" s="1"/>
  <c r="I52" i="8" s="1"/>
  <c r="I53" i="8" s="1"/>
  <c r="I54" i="8" s="1"/>
  <c r="I55" i="8" s="1"/>
  <c r="I56" i="8" s="1"/>
  <c r="I57" i="8" s="1"/>
  <c r="I58" i="8" s="1"/>
  <c r="I59" i="8" s="1"/>
  <c r="I60" i="8" s="1"/>
  <c r="I61" i="8" s="1"/>
  <c r="I62" i="8" s="1"/>
  <c r="I63" i="8" s="1"/>
  <c r="I64" i="8" s="1"/>
  <c r="I65" i="8" s="1"/>
  <c r="I66" i="8" s="1"/>
  <c r="I67" i="8" s="1"/>
  <c r="I68" i="8" s="1"/>
  <c r="I69" i="8" s="1"/>
  <c r="I70" i="8" s="1"/>
  <c r="I71" i="8" s="1"/>
  <c r="I72" i="8" s="1"/>
  <c r="I73" i="8" s="1"/>
  <c r="I74" i="8" s="1"/>
  <c r="I75" i="8" s="1"/>
  <c r="I76" i="8" s="1"/>
  <c r="I77" i="8" s="1"/>
  <c r="I78" i="8" s="1"/>
  <c r="I79" i="8" s="1"/>
  <c r="G10" i="8"/>
  <c r="G50" i="8"/>
  <c r="D50" i="8"/>
  <c r="D56" i="8"/>
  <c r="G56" i="8"/>
  <c r="G26" i="8"/>
  <c r="D26" i="8"/>
  <c r="G35" i="8"/>
  <c r="D35" i="8"/>
  <c r="D25" i="8"/>
  <c r="G25" i="8"/>
  <c r="D27" i="8"/>
  <c r="G27" i="8"/>
  <c r="G33" i="8"/>
  <c r="D33" i="8"/>
  <c r="D13" i="8"/>
  <c r="G13" i="8"/>
  <c r="G44" i="8"/>
  <c r="D44" i="8"/>
  <c r="G46" i="8"/>
  <c r="D46" i="8"/>
  <c r="G36" i="8"/>
  <c r="D36" i="8"/>
  <c r="G43" i="8"/>
  <c r="D43" i="8"/>
  <c r="D54" i="8"/>
  <c r="G54" i="8"/>
  <c r="D18" i="8"/>
  <c r="G18" i="8"/>
  <c r="G45" i="8"/>
  <c r="D45" i="8"/>
  <c r="D20" i="8"/>
  <c r="G20" i="8"/>
  <c r="G29" i="8"/>
  <c r="D29" i="8"/>
  <c r="G21" i="8"/>
  <c r="D21" i="8"/>
  <c r="D17" i="8"/>
  <c r="G17" i="8"/>
  <c r="G40" i="8"/>
  <c r="D40" i="8"/>
  <c r="D24" i="8"/>
  <c r="G24" i="8"/>
  <c r="D55" i="8"/>
  <c r="G55" i="8"/>
  <c r="G39" i="8"/>
  <c r="D39" i="8"/>
  <c r="D23" i="8"/>
  <c r="G23" i="8"/>
  <c r="D12" i="8"/>
  <c r="G12" i="8"/>
  <c r="D60" i="8"/>
  <c r="G60" i="8"/>
  <c r="G57" i="8"/>
  <c r="D57" i="8"/>
  <c r="D19" i="8"/>
  <c r="G19" i="8"/>
  <c r="G53" i="8"/>
  <c r="D53" i="8"/>
  <c r="G52" i="8"/>
  <c r="D52" i="8"/>
  <c r="D38" i="8"/>
  <c r="G38" i="8"/>
  <c r="G41" i="8"/>
  <c r="D41" i="8"/>
  <c r="D30" i="8"/>
  <c r="G30" i="8"/>
  <c r="G37" i="8"/>
  <c r="D37" i="8"/>
  <c r="D11" i="8"/>
  <c r="G11" i="8"/>
  <c r="D61" i="8"/>
  <c r="G61" i="8"/>
  <c r="D59" i="8"/>
  <c r="G59" i="8"/>
  <c r="K10" i="8" l="1"/>
  <c r="J11" i="8"/>
  <c r="J12" i="8" s="1"/>
  <c r="K11" i="8" l="1"/>
  <c r="J13" i="8"/>
  <c r="K12" i="8"/>
  <c r="K13" i="8" l="1"/>
  <c r="J14" i="8"/>
  <c r="K14" i="8" l="1"/>
  <c r="J15" i="8"/>
  <c r="K15" i="8" l="1"/>
  <c r="J16" i="8"/>
  <c r="K16" i="8" l="1"/>
  <c r="J17" i="8"/>
  <c r="B4" i="8"/>
  <c r="C6" i="8"/>
  <c r="J18" i="8" l="1"/>
  <c r="K17" i="8"/>
  <c r="C5" i="8"/>
  <c r="B6" i="8"/>
  <c r="C4" i="8"/>
  <c r="C7" i="8" s="1"/>
  <c r="I4" i="8"/>
  <c r="B7" i="8" l="1"/>
  <c r="D7" i="8" s="1"/>
  <c r="D6" i="8"/>
  <c r="J19" i="8"/>
  <c r="K18" i="8"/>
  <c r="B5" i="8"/>
  <c r="D5" i="8" s="1"/>
  <c r="J20" i="8" l="1"/>
  <c r="K19" i="8"/>
  <c r="K20" i="8" l="1"/>
  <c r="J21" i="8"/>
  <c r="J22" i="8" l="1"/>
  <c r="K21" i="8"/>
  <c r="K22" i="8" l="1"/>
  <c r="J23" i="8"/>
  <c r="K23" i="8" l="1"/>
  <c r="J24" i="8"/>
  <c r="K24" i="8" l="1"/>
  <c r="J25" i="8"/>
  <c r="K25" i="8" l="1"/>
  <c r="J26" i="8"/>
  <c r="J4" i="8"/>
  <c r="D4" i="8"/>
  <c r="J27" i="8" l="1"/>
  <c r="K26" i="8"/>
  <c r="J28" i="8" l="1"/>
  <c r="K27" i="8"/>
  <c r="K28" i="8" l="1"/>
  <c r="J29" i="8"/>
  <c r="K29" i="8" l="1"/>
  <c r="J30" i="8"/>
  <c r="J31" i="8" l="1"/>
  <c r="K30" i="8"/>
  <c r="K31" i="8" l="1"/>
  <c r="J32" i="8"/>
  <c r="K32" i="8" l="1"/>
  <c r="J33" i="8"/>
  <c r="J34" i="8" l="1"/>
  <c r="K33" i="8"/>
  <c r="K34" i="8" l="1"/>
  <c r="J35" i="8"/>
  <c r="K35" i="8" l="1"/>
  <c r="J36" i="8"/>
  <c r="J37" i="8" l="1"/>
  <c r="K36" i="8"/>
  <c r="J38" i="8" l="1"/>
  <c r="K37" i="8"/>
  <c r="J39" i="8" l="1"/>
  <c r="K38" i="8"/>
  <c r="K39" i="8" l="1"/>
  <c r="J40" i="8"/>
  <c r="K40" i="8" l="1"/>
  <c r="J41" i="8"/>
  <c r="K41" i="8" l="1"/>
  <c r="J42" i="8"/>
  <c r="J43" i="8" l="1"/>
  <c r="K42" i="8"/>
  <c r="J44" i="8" l="1"/>
  <c r="K43" i="8"/>
  <c r="J45" i="8" l="1"/>
  <c r="K44" i="8"/>
  <c r="K45" i="8" l="1"/>
  <c r="J46" i="8"/>
  <c r="K46" i="8" l="1"/>
  <c r="J47" i="8"/>
  <c r="K47" i="8" l="1"/>
  <c r="J48" i="8"/>
  <c r="K48" i="8" l="1"/>
  <c r="J49" i="8"/>
  <c r="J50" i="8" l="1"/>
  <c r="K49" i="8"/>
  <c r="J51" i="8" l="1"/>
  <c r="K50" i="8"/>
  <c r="J52" i="8" l="1"/>
  <c r="K51" i="8"/>
  <c r="J53" i="8" l="1"/>
  <c r="K52" i="8"/>
  <c r="J54" i="8" l="1"/>
  <c r="K53" i="8"/>
  <c r="J55" i="8" l="1"/>
  <c r="K54" i="8"/>
  <c r="K55" i="8" l="1"/>
  <c r="J56" i="8"/>
  <c r="J57" i="8" l="1"/>
  <c r="K56" i="8"/>
  <c r="J58" i="8" l="1"/>
  <c r="K57" i="8"/>
  <c r="K58" i="8" l="1"/>
  <c r="J59" i="8"/>
  <c r="K59" i="8" l="1"/>
  <c r="J60" i="8"/>
  <c r="K60" i="8" l="1"/>
  <c r="J61" i="8"/>
  <c r="K61" i="8" l="1"/>
  <c r="J62" i="8"/>
  <c r="K62" i="8" l="1"/>
  <c r="J63" i="8"/>
  <c r="K63" i="8" l="1"/>
  <c r="J64" i="8"/>
  <c r="K64" i="8" l="1"/>
  <c r="J65" i="8"/>
  <c r="K65" i="8" l="1"/>
  <c r="J66" i="8"/>
  <c r="K66" i="8" l="1"/>
  <c r="J67" i="8"/>
  <c r="K67" i="8" l="1"/>
  <c r="J68" i="8"/>
  <c r="K68" i="8" l="1"/>
  <c r="J69" i="8"/>
  <c r="K69" i="8" l="1"/>
  <c r="J70" i="8"/>
  <c r="J71" i="8" s="1"/>
  <c r="J72" i="8" l="1"/>
  <c r="K71" i="8"/>
  <c r="K70" i="8"/>
  <c r="K72" i="8" l="1"/>
  <c r="J73" i="8"/>
  <c r="K73" i="8" l="1"/>
  <c r="J74" i="8"/>
  <c r="K74" i="8" l="1"/>
  <c r="J75" i="8"/>
  <c r="K75" i="8" l="1"/>
  <c r="J76" i="8"/>
  <c r="K76" i="8" l="1"/>
  <c r="J77" i="8"/>
  <c r="K77" i="8" l="1"/>
  <c r="J78" i="8"/>
  <c r="K78" i="8" l="1"/>
  <c r="J79" i="8"/>
  <c r="K79" i="8" s="1"/>
</calcChain>
</file>

<file path=xl/sharedStrings.xml><?xml version="1.0" encoding="utf-8"?>
<sst xmlns="http://schemas.openxmlformats.org/spreadsheetml/2006/main" count="136" uniqueCount="103">
  <si>
    <t>JAMIE</t>
  </si>
  <si>
    <t>MATT</t>
  </si>
  <si>
    <t>Round 1</t>
  </si>
  <si>
    <t>Round 2</t>
  </si>
  <si>
    <t>Round 1 Categories</t>
  </si>
  <si>
    <t>Round 2 Categories</t>
  </si>
  <si>
    <t>CORRECT</t>
  </si>
  <si>
    <t>Delta</t>
  </si>
  <si>
    <t>ALL TIME RANKING</t>
  </si>
  <si>
    <t>Playa</t>
  </si>
  <si>
    <t>Monies</t>
  </si>
  <si>
    <t>Games</t>
  </si>
  <si>
    <t>Answers</t>
  </si>
  <si>
    <t>Game</t>
  </si>
  <si>
    <t>Avg Answer</t>
  </si>
  <si>
    <t>Winner</t>
  </si>
  <si>
    <t>Jamie</t>
  </si>
  <si>
    <t>Matt</t>
  </si>
  <si>
    <t>Margin</t>
  </si>
  <si>
    <t>Game50</t>
  </si>
  <si>
    <t>Game43</t>
  </si>
  <si>
    <t>Game44</t>
  </si>
  <si>
    <t>Game45</t>
  </si>
  <si>
    <t>Game46</t>
  </si>
  <si>
    <t>Game47</t>
  </si>
  <si>
    <t>Game48</t>
  </si>
  <si>
    <t>Game49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</si>
  <si>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</si>
  <si>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</si>
  <si>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</si>
  <si>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</si>
  <si>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</si>
  <si>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</si>
  <si>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</si>
  <si>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</si>
  <si>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</si>
  <si>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</si>
  <si>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</si>
  <si>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</si>
  <si>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</si>
  <si>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</si>
  <si>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</si>
  <si>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</si>
  <si>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</si>
  <si>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</si>
  <si>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</si>
  <si>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</si>
  <si>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Game21</t>
  </si>
  <si>
    <t>Game22</t>
  </si>
  <si>
    <t>Game23</t>
  </si>
  <si>
    <t>Game24</t>
  </si>
  <si>
    <t>Game25</t>
  </si>
  <si>
    <t>Game26</t>
  </si>
  <si>
    <t>Game27</t>
  </si>
  <si>
    <t>Game28</t>
  </si>
  <si>
    <t>Game29</t>
  </si>
  <si>
    <t>Game30</t>
  </si>
  <si>
    <t>Game31</t>
  </si>
  <si>
    <t>Game32</t>
  </si>
  <si>
    <t>Game33</t>
  </si>
  <si>
    <t>Game34</t>
  </si>
  <si>
    <t>Game35</t>
  </si>
  <si>
    <t>Game36</t>
  </si>
  <si>
    <t>Game37</t>
  </si>
  <si>
    <t>Game38</t>
  </si>
  <si>
    <t>Game39</t>
  </si>
  <si>
    <t>Game40</t>
  </si>
  <si>
    <t>Game41</t>
  </si>
  <si>
    <t>Game42</t>
  </si>
  <si>
    <t>Game51</t>
  </si>
  <si>
    <t>Game52</t>
  </si>
  <si>
    <t>Game53</t>
  </si>
  <si>
    <t>Game54</t>
  </si>
  <si>
    <t>Game55</t>
  </si>
  <si>
    <t>Game56</t>
  </si>
  <si>
    <t>Game57</t>
  </si>
  <si>
    <t>Game58</t>
  </si>
  <si>
    <t>Game59</t>
  </si>
  <si>
    <t>Game60</t>
  </si>
  <si>
    <t>Game61</t>
  </si>
  <si>
    <t>Game62</t>
  </si>
  <si>
    <t>Game63</t>
  </si>
  <si>
    <t>Game64</t>
  </si>
  <si>
    <t>Game65</t>
  </si>
  <si>
    <t>Game66</t>
  </si>
  <si>
    <t>Game67</t>
  </si>
  <si>
    <t>Game68</t>
  </si>
  <si>
    <t>Game69</t>
  </si>
  <si>
    <t>Game70</t>
  </si>
  <si>
    <t>Final Jeopardy!</t>
  </si>
  <si>
    <t>Game Over</t>
  </si>
  <si>
    <t>Money</t>
  </si>
  <si>
    <t>Round</t>
  </si>
  <si>
    <t>Number</t>
  </si>
  <si>
    <t>round:</t>
  </si>
  <si>
    <t>Final</t>
  </si>
  <si>
    <t>Money R1</t>
  </si>
  <si>
    <t>Money R2</t>
  </si>
  <si>
    <t>Total</t>
  </si>
  <si>
    <t>Date</t>
  </si>
  <si>
    <t>High Score</t>
  </si>
  <si>
    <t>High Points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</si>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</sst>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164" formatCode="&quot;$&quot;#,##0"/>
    <numFmt numFmtId="165" formatCode="&quot;$&quot;#,##0.00"/>
    <numFmt numFmtId="166" formatCode="[$-409]mmmm\ dd\,\ yyyy"/>
    <numFmt numFmtId="167" formatCode="ddd\ mmm\ dd\,\ yyyy\ hh:mm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rgb="FFFFCC66"/>
      <name val="Cambria"/>
      <family val="1"/>
      <scheme val="major"/>
    </font>
    <font>
      <sz val="30"/>
      <color rgb="FF000000"/>
      <name val="Rockwell Extra Bold"/>
      <family val="1"/>
    </font>
    <font>
      <b/>
      <sz val="30"/>
      <color rgb="FF000000"/>
      <name val="Rockwell Extra Bold"/>
      <family val="1"/>
    </font>
    <font>
      <sz val="15"/>
      <color rgb="FF000000"/>
      <name val="Rockwell Extra Bold"/>
      <family val="1"/>
    </font>
    <font>
      <sz val="10"/>
      <color theme="0"/>
      <name val="Arial Black"/>
      <family val="2"/>
    </font>
    <font>
      <sz val="18"/>
      <color theme="0"/>
      <name val="Arial Black"/>
      <family val="2"/>
    </font>
    <font>
      <sz val="10"/>
      <color rgb="FF000074"/>
      <name val="Arial Black"/>
      <family val="2"/>
    </font>
    <font>
      <sz val="11"/>
      <color rgb="FF000074"/>
      <name val="Calibri"/>
      <family val="2"/>
      <scheme val="minor"/>
    </font>
    <font>
      <b/>
      <sz val="10"/>
      <color rgb="FFFFFF00"/>
      <name val="Arial Black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000074"/>
        <bgColor indexed="64"/>
      </patternFill>
    </fill>
    <fill>
      <patternFill patternType="solid">
        <fgColor rgb="FF000086"/>
        <bgColor indexed="64"/>
      </patternFill>
    </fill>
    <fill>
      <patternFill patternType="solid">
        <fgColor theme="2" tint="-0.89999084444715716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left" vertical="center"/>
    </xf>
    <xf numFmtId="165" fontId="1" fillId="2" borderId="0" xfId="0" applyNumberFormat="1" applyFont="1" applyFill="1" applyAlignment="1">
      <alignment horizontal="left" vertical="center"/>
    </xf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5" borderId="2" xfId="0" applyNumberFormat="1" applyFont="1" applyFill="1" applyBorder="1" applyAlignment="1">
      <alignment horizontal="center" vertical="center"/>
    </xf>
    <xf numFmtId="164" fontId="3" fillId="6" borderId="2" xfId="0" applyNumberFormat="1" applyFont="1" applyFill="1" applyBorder="1" applyAlignment="1">
      <alignment horizontal="center" vertical="center"/>
    </xf>
    <xf numFmtId="164" fontId="4" fillId="3" borderId="2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164" fontId="0" fillId="7" borderId="0" xfId="0" applyNumberForma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7" borderId="0" xfId="0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3" fillId="7" borderId="0" xfId="0" applyNumberFormat="1" applyFont="1" applyFill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64" fontId="1" fillId="5" borderId="6" xfId="0" applyNumberFormat="1" applyFont="1" applyFill="1" applyBorder="1" applyAlignment="1">
      <alignment horizontal="center" vertical="center"/>
    </xf>
    <xf numFmtId="164" fontId="1" fillId="6" borderId="6" xfId="0" applyNumberFormat="1" applyFont="1" applyFill="1" applyBorder="1" applyAlignment="1">
      <alignment horizontal="center" vertical="center"/>
    </xf>
    <xf numFmtId="164" fontId="0" fillId="8" borderId="4" xfId="0" applyNumberFormat="1" applyFill="1" applyBorder="1" applyAlignment="1">
      <alignment horizontal="left" vertical="center"/>
    </xf>
    <xf numFmtId="164" fontId="7" fillId="8" borderId="0" xfId="0" applyNumberFormat="1" applyFont="1" applyFill="1" applyAlignment="1">
      <alignment horizontal="center" vertical="center"/>
    </xf>
    <xf numFmtId="164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4" fontId="2" fillId="8" borderId="0" xfId="0" applyNumberFormat="1" applyFont="1" applyFill="1" applyAlignment="1">
      <alignment horizontal="left" vertical="center"/>
    </xf>
    <xf numFmtId="164" fontId="6" fillId="8" borderId="0" xfId="0" applyNumberFormat="1" applyFont="1" applyFill="1" applyAlignment="1">
      <alignment horizontal="center" vertical="center"/>
    </xf>
    <xf numFmtId="164" fontId="0" fillId="8" borderId="0" xfId="0" applyNumberFormat="1" applyFill="1" applyAlignment="1">
      <alignment horizontal="left" vertical="center"/>
    </xf>
    <xf numFmtId="164" fontId="5" fillId="8" borderId="0" xfId="0" applyNumberFormat="1" applyFont="1" applyFill="1" applyAlignment="1">
      <alignment horizontal="center" vertical="center"/>
    </xf>
    <xf numFmtId="20" fontId="0" fillId="8" borderId="0" xfId="0" applyNumberFormat="1" applyFill="1" applyAlignment="1">
      <alignment horizontal="center" vertical="center"/>
    </xf>
    <xf numFmtId="0" fontId="0" fillId="7" borderId="0" xfId="0" applyFill="1"/>
    <xf numFmtId="164" fontId="0" fillId="7" borderId="0" xfId="0" applyNumberFormat="1" applyFill="1"/>
    <xf numFmtId="0" fontId="0" fillId="9" borderId="0" xfId="0" applyFill="1"/>
    <xf numFmtId="0" fontId="8" fillId="9" borderId="0" xfId="0" applyFont="1" applyFill="1"/>
    <xf numFmtId="6" fontId="0" fillId="9" borderId="0" xfId="0" applyNumberFormat="1" applyFill="1"/>
    <xf numFmtId="164" fontId="0" fillId="9" borderId="0" xfId="0" applyNumberFormat="1" applyFill="1"/>
    <xf numFmtId="0" fontId="12" fillId="9" borderId="0" xfId="0" applyFont="1" applyFill="1"/>
    <xf numFmtId="164" fontId="12" fillId="9" borderId="0" xfId="0" applyNumberFormat="1" applyFont="1" applyFill="1" applyAlignment="1">
      <alignment horizontal="left"/>
    </xf>
    <xf numFmtId="0" fontId="12" fillId="9" borderId="0" xfId="0" applyFont="1" applyFill="1" applyAlignment="1">
      <alignment horizontal="left"/>
    </xf>
    <xf numFmtId="0" fontId="6" fillId="9" borderId="0" xfId="0" applyFont="1" applyFill="1"/>
    <xf numFmtId="0" fontId="6" fillId="9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9" borderId="0" xfId="0" applyFont="1" applyFill="1"/>
    <xf numFmtId="164" fontId="12" fillId="9" borderId="0" xfId="0" applyNumberFormat="1" applyFont="1" applyFill="1" applyAlignment="1">
      <alignment horizontal="right"/>
    </xf>
    <xf numFmtId="0" fontId="12" fillId="9" borderId="0" xfId="0" applyFont="1" applyFill="1" applyAlignment="1">
      <alignment horizontal="right"/>
    </xf>
    <xf numFmtId="164" fontId="14" fillId="9" borderId="0" xfId="0" applyNumberFormat="1" applyFont="1" applyFill="1" applyAlignment="1">
      <alignment horizontal="right"/>
    </xf>
    <xf numFmtId="0" fontId="15" fillId="9" borderId="0" xfId="0" applyFont="1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horizontal="right"/>
    </xf>
    <xf numFmtId="164" fontId="0" fillId="9" borderId="0" xfId="0" applyNumberFormat="1" applyFill="1" applyAlignment="1">
      <alignment horizontal="left"/>
    </xf>
    <xf numFmtId="0" fontId="6" fillId="10" borderId="0" xfId="0" applyFont="1" applyFill="1" applyAlignment="1">
      <alignment horizontal="right"/>
    </xf>
    <xf numFmtId="6" fontId="6" fillId="10" borderId="0" xfId="0" applyNumberFormat="1" applyFont="1" applyFill="1" applyAlignment="1">
      <alignment horizontal="right"/>
    </xf>
    <xf numFmtId="0" fontId="6" fillId="10" borderId="7" xfId="0" applyFont="1" applyFill="1" applyBorder="1" applyAlignment="1">
      <alignment horizontal="right"/>
    </xf>
    <xf numFmtId="6" fontId="6" fillId="10" borderId="7" xfId="0" applyNumberFormat="1" applyFont="1" applyFill="1" applyBorder="1" applyAlignment="1">
      <alignment horizontal="right"/>
    </xf>
    <xf numFmtId="164" fontId="6" fillId="10" borderId="0" xfId="0" applyNumberFormat="1" applyFont="1" applyFill="1" applyAlignment="1">
      <alignment horizontal="right"/>
    </xf>
    <xf numFmtId="0" fontId="6" fillId="11" borderId="0" xfId="0" applyFont="1" applyFill="1" applyAlignment="1">
      <alignment horizontal="right"/>
    </xf>
    <xf numFmtId="0" fontId="6" fillId="11" borderId="7" xfId="0" applyFont="1" applyFill="1" applyBorder="1" applyAlignment="1">
      <alignment horizontal="right"/>
    </xf>
    <xf numFmtId="164" fontId="6" fillId="11" borderId="0" xfId="0" applyNumberFormat="1" applyFont="1" applyFill="1" applyAlignment="1">
      <alignment horizontal="right"/>
    </xf>
    <xf numFmtId="166" fontId="6" fillId="10" borderId="7" xfId="0" applyNumberFormat="1" applyFont="1" applyFill="1" applyBorder="1" applyAlignment="1">
      <alignment horizontal="right"/>
    </xf>
    <xf numFmtId="167" fontId="6" fillId="10" borderId="7" xfId="0" applyNumberFormat="1" applyFont="1" applyFill="1" applyBorder="1" applyAlignment="1">
      <alignment horizontal="right"/>
    </xf>
    <xf numFmtId="167" fontId="6" fillId="11" borderId="7" xfId="0" applyNumberFormat="1" applyFont="1" applyFill="1" applyBorder="1" applyAlignment="1">
      <alignment horizontal="right"/>
    </xf>
    <xf numFmtId="1" fontId="6" fillId="10" borderId="0" xfId="0" applyNumberFormat="1" applyFont="1" applyFill="1" applyAlignment="1">
      <alignment horizontal="right"/>
    </xf>
    <xf numFmtId="0" fontId="13" fillId="9" borderId="0" xfId="0" applyFont="1" applyFill="1" applyAlignment="1">
      <alignment horizontal="right"/>
    </xf>
    <xf numFmtId="164" fontId="16" fillId="9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74"/>
      <color rgb="FF000086"/>
      <color rgb="FF00009A"/>
      <color rgb="FF473F0D"/>
      <color rgb="FF0000B5"/>
      <color rgb="FF0000CC"/>
      <color rgb="FFFFCC66"/>
      <color rgb="FF0039AC"/>
      <color rgb="FF66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TOTAL!$B$3</c:f>
              <c:strCache>
                <c:ptCount val="1"/>
                <c:pt idx="0">
                  <c:v>JAMIE</c:v>
                </c:pt>
              </c:strCache>
            </c:strRef>
          </c:tx>
          <c:marker>
            <c:symbol val="none"/>
          </c:marker>
          <c:xVal>
            <c:strRef>
              <c:f>TOTAL!$A$10:$A$100</c:f>
              <c:strCache>
                <c:ptCount val="70"/>
                <c:pt idx="0">
                  <c:v>Game1</c:v>
                </c:pt>
                <c:pt idx="1">
                  <c:v>Game2</c:v>
                </c:pt>
                <c:pt idx="2">
                  <c:v>Game3</c:v>
                </c:pt>
                <c:pt idx="3">
                  <c:v>Game4</c:v>
                </c:pt>
                <c:pt idx="4">
                  <c:v>Game5</c:v>
                </c:pt>
                <c:pt idx="5">
                  <c:v>Game6</c:v>
                </c:pt>
                <c:pt idx="6">
                  <c:v>Game7</c:v>
                </c:pt>
                <c:pt idx="7">
                  <c:v>Game8</c:v>
                </c:pt>
                <c:pt idx="8">
                  <c:v>Game9</c:v>
                </c:pt>
                <c:pt idx="9">
                  <c:v>Game10</c:v>
                </c:pt>
                <c:pt idx="10">
                  <c:v>Game11</c:v>
                </c:pt>
                <c:pt idx="11">
                  <c:v>Game12</c:v>
                </c:pt>
                <c:pt idx="12">
                  <c:v>Game13</c:v>
                </c:pt>
                <c:pt idx="13">
                  <c:v>Game14</c:v>
                </c:pt>
                <c:pt idx="14">
                  <c:v>Game15</c:v>
                </c:pt>
                <c:pt idx="15">
                  <c:v>Game16</c:v>
                </c:pt>
                <c:pt idx="16">
                  <c:v>Game17</c:v>
                </c:pt>
                <c:pt idx="17">
                  <c:v>Game18</c:v>
                </c:pt>
                <c:pt idx="18">
                  <c:v>Game19</c:v>
                </c:pt>
                <c:pt idx="19">
                  <c:v>Game20</c:v>
                </c:pt>
                <c:pt idx="20">
                  <c:v>Game21</c:v>
                </c:pt>
                <c:pt idx="21">
                  <c:v>Game22</c:v>
                </c:pt>
                <c:pt idx="22">
                  <c:v>Game23</c:v>
                </c:pt>
                <c:pt idx="23">
                  <c:v>Game24</c:v>
                </c:pt>
                <c:pt idx="24">
                  <c:v>Game25</c:v>
                </c:pt>
                <c:pt idx="25">
                  <c:v>Game26</c:v>
                </c:pt>
                <c:pt idx="26">
                  <c:v>Game27</c:v>
                </c:pt>
                <c:pt idx="27">
                  <c:v>Game28</c:v>
                </c:pt>
                <c:pt idx="28">
                  <c:v>Game29</c:v>
                </c:pt>
                <c:pt idx="29">
                  <c:v>Game30</c:v>
                </c:pt>
                <c:pt idx="30">
                  <c:v>Game31</c:v>
                </c:pt>
                <c:pt idx="31">
                  <c:v>Game32</c:v>
                </c:pt>
                <c:pt idx="32">
                  <c:v>Game33</c:v>
                </c:pt>
                <c:pt idx="33">
                  <c:v>Game34</c:v>
                </c:pt>
                <c:pt idx="34">
                  <c:v>Game35</c:v>
                </c:pt>
                <c:pt idx="35">
                  <c:v>Game36</c:v>
                </c:pt>
                <c:pt idx="36">
                  <c:v>Game37</c:v>
                </c:pt>
                <c:pt idx="37">
                  <c:v>Game38</c:v>
                </c:pt>
                <c:pt idx="38">
                  <c:v>Game39</c:v>
                </c:pt>
                <c:pt idx="39">
                  <c:v>Game40</c:v>
                </c:pt>
                <c:pt idx="40">
                  <c:v>Game41</c:v>
                </c:pt>
                <c:pt idx="41">
                  <c:v>Game42</c:v>
                </c:pt>
                <c:pt idx="42">
                  <c:v>Game43</c:v>
                </c:pt>
                <c:pt idx="43">
                  <c:v>Game44</c:v>
                </c:pt>
                <c:pt idx="44">
                  <c:v>Game45</c:v>
                </c:pt>
                <c:pt idx="45">
                  <c:v>Game46</c:v>
                </c:pt>
                <c:pt idx="46">
                  <c:v>Game47</c:v>
                </c:pt>
                <c:pt idx="47">
                  <c:v>Game48</c:v>
                </c:pt>
                <c:pt idx="48">
                  <c:v>Game49</c:v>
                </c:pt>
                <c:pt idx="49">
                  <c:v>Game50</c:v>
                </c:pt>
                <c:pt idx="50">
                  <c:v>Game51</c:v>
                </c:pt>
                <c:pt idx="51">
                  <c:v>Game52</c:v>
                </c:pt>
                <c:pt idx="52">
                  <c:v>Game53</c:v>
                </c:pt>
                <c:pt idx="53">
                  <c:v>Game54</c:v>
                </c:pt>
                <c:pt idx="54">
                  <c:v>Game55</c:v>
                </c:pt>
                <c:pt idx="55">
                  <c:v>Game56</c:v>
                </c:pt>
                <c:pt idx="56">
                  <c:v>Game57</c:v>
                </c:pt>
                <c:pt idx="57">
                  <c:v>Game58</c:v>
                </c:pt>
                <c:pt idx="58">
                  <c:v>Game59</c:v>
                </c:pt>
                <c:pt idx="59">
                  <c:v>Game60</c:v>
                </c:pt>
                <c:pt idx="60">
                  <c:v>Game61</c:v>
                </c:pt>
                <c:pt idx="61">
                  <c:v>Game62</c:v>
                </c:pt>
                <c:pt idx="62">
                  <c:v>Game63</c:v>
                </c:pt>
                <c:pt idx="63">
                  <c:v>Game64</c:v>
                </c:pt>
                <c:pt idx="64">
                  <c:v>Game65</c:v>
                </c:pt>
                <c:pt idx="65">
                  <c:v>Game66</c:v>
                </c:pt>
                <c:pt idx="66">
                  <c:v>Game67</c:v>
                </c:pt>
                <c:pt idx="67">
                  <c:v>Game68</c:v>
                </c:pt>
                <c:pt idx="68">
                  <c:v>Game69</c:v>
                </c:pt>
                <c:pt idx="69">
                  <c:v>Game70</c:v>
                </c:pt>
              </c:strCache>
            </c:strRef>
          </c:xVal>
          <c:yVal>
            <c:numRef>
              <c:f>TOTAL!$I$10:$I$100</c:f>
              <c:numCache>
                <c:formatCode>"$"#,##0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D-41C1-9940-A888562699CE}"/>
            </c:ext>
          </c:extLst>
        </c:ser>
        <c:ser>
          <c:idx val="1"/>
          <c:order val="1"/>
          <c:tx>
            <c:strRef>
              <c:f>TOTAL!$C$3</c:f>
              <c:strCache>
                <c:ptCount val="1"/>
                <c:pt idx="0">
                  <c:v>MATT</c:v>
                </c:pt>
              </c:strCache>
            </c:strRef>
          </c:tx>
          <c:marker>
            <c:symbol val="none"/>
          </c:marker>
          <c:xVal>
            <c:strRef>
              <c:f>TOTAL!$A$10:$A$100</c:f>
              <c:strCache>
                <c:ptCount val="70"/>
                <c:pt idx="0">
                  <c:v>Game1</c:v>
                </c:pt>
                <c:pt idx="1">
                  <c:v>Game2</c:v>
                </c:pt>
                <c:pt idx="2">
                  <c:v>Game3</c:v>
                </c:pt>
                <c:pt idx="3">
                  <c:v>Game4</c:v>
                </c:pt>
                <c:pt idx="4">
                  <c:v>Game5</c:v>
                </c:pt>
                <c:pt idx="5">
                  <c:v>Game6</c:v>
                </c:pt>
                <c:pt idx="6">
                  <c:v>Game7</c:v>
                </c:pt>
                <c:pt idx="7">
                  <c:v>Game8</c:v>
                </c:pt>
                <c:pt idx="8">
                  <c:v>Game9</c:v>
                </c:pt>
                <c:pt idx="9">
                  <c:v>Game10</c:v>
                </c:pt>
                <c:pt idx="10">
                  <c:v>Game11</c:v>
                </c:pt>
                <c:pt idx="11">
                  <c:v>Game12</c:v>
                </c:pt>
                <c:pt idx="12">
                  <c:v>Game13</c:v>
                </c:pt>
                <c:pt idx="13">
                  <c:v>Game14</c:v>
                </c:pt>
                <c:pt idx="14">
                  <c:v>Game15</c:v>
                </c:pt>
                <c:pt idx="15">
                  <c:v>Game16</c:v>
                </c:pt>
                <c:pt idx="16">
                  <c:v>Game17</c:v>
                </c:pt>
                <c:pt idx="17">
                  <c:v>Game18</c:v>
                </c:pt>
                <c:pt idx="18">
                  <c:v>Game19</c:v>
                </c:pt>
                <c:pt idx="19">
                  <c:v>Game20</c:v>
                </c:pt>
                <c:pt idx="20">
                  <c:v>Game21</c:v>
                </c:pt>
                <c:pt idx="21">
                  <c:v>Game22</c:v>
                </c:pt>
                <c:pt idx="22">
                  <c:v>Game23</c:v>
                </c:pt>
                <c:pt idx="23">
                  <c:v>Game24</c:v>
                </c:pt>
                <c:pt idx="24">
                  <c:v>Game25</c:v>
                </c:pt>
                <c:pt idx="25">
                  <c:v>Game26</c:v>
                </c:pt>
                <c:pt idx="26">
                  <c:v>Game27</c:v>
                </c:pt>
                <c:pt idx="27">
                  <c:v>Game28</c:v>
                </c:pt>
                <c:pt idx="28">
                  <c:v>Game29</c:v>
                </c:pt>
                <c:pt idx="29">
                  <c:v>Game30</c:v>
                </c:pt>
                <c:pt idx="30">
                  <c:v>Game31</c:v>
                </c:pt>
                <c:pt idx="31">
                  <c:v>Game32</c:v>
                </c:pt>
                <c:pt idx="32">
                  <c:v>Game33</c:v>
                </c:pt>
                <c:pt idx="33">
                  <c:v>Game34</c:v>
                </c:pt>
                <c:pt idx="34">
                  <c:v>Game35</c:v>
                </c:pt>
                <c:pt idx="35">
                  <c:v>Game36</c:v>
                </c:pt>
                <c:pt idx="36">
                  <c:v>Game37</c:v>
                </c:pt>
                <c:pt idx="37">
                  <c:v>Game38</c:v>
                </c:pt>
                <c:pt idx="38">
                  <c:v>Game39</c:v>
                </c:pt>
                <c:pt idx="39">
                  <c:v>Game40</c:v>
                </c:pt>
                <c:pt idx="40">
                  <c:v>Game41</c:v>
                </c:pt>
                <c:pt idx="41">
                  <c:v>Game42</c:v>
                </c:pt>
                <c:pt idx="42">
                  <c:v>Game43</c:v>
                </c:pt>
                <c:pt idx="43">
                  <c:v>Game44</c:v>
                </c:pt>
                <c:pt idx="44">
                  <c:v>Game45</c:v>
                </c:pt>
                <c:pt idx="45">
                  <c:v>Game46</c:v>
                </c:pt>
                <c:pt idx="46">
                  <c:v>Game47</c:v>
                </c:pt>
                <c:pt idx="47">
                  <c:v>Game48</c:v>
                </c:pt>
                <c:pt idx="48">
                  <c:v>Game49</c:v>
                </c:pt>
                <c:pt idx="49">
                  <c:v>Game50</c:v>
                </c:pt>
                <c:pt idx="50">
                  <c:v>Game51</c:v>
                </c:pt>
                <c:pt idx="51">
                  <c:v>Game52</c:v>
                </c:pt>
                <c:pt idx="52">
                  <c:v>Game53</c:v>
                </c:pt>
                <c:pt idx="53">
                  <c:v>Game54</c:v>
                </c:pt>
                <c:pt idx="54">
                  <c:v>Game55</c:v>
                </c:pt>
                <c:pt idx="55">
                  <c:v>Game56</c:v>
                </c:pt>
                <c:pt idx="56">
                  <c:v>Game57</c:v>
                </c:pt>
                <c:pt idx="57">
                  <c:v>Game58</c:v>
                </c:pt>
                <c:pt idx="58">
                  <c:v>Game59</c:v>
                </c:pt>
                <c:pt idx="59">
                  <c:v>Game60</c:v>
                </c:pt>
                <c:pt idx="60">
                  <c:v>Game61</c:v>
                </c:pt>
                <c:pt idx="61">
                  <c:v>Game62</c:v>
                </c:pt>
                <c:pt idx="62">
                  <c:v>Game63</c:v>
                </c:pt>
                <c:pt idx="63">
                  <c:v>Game64</c:v>
                </c:pt>
                <c:pt idx="64">
                  <c:v>Game65</c:v>
                </c:pt>
                <c:pt idx="65">
                  <c:v>Game66</c:v>
                </c:pt>
                <c:pt idx="66">
                  <c:v>Game67</c:v>
                </c:pt>
                <c:pt idx="67">
                  <c:v>Game68</c:v>
                </c:pt>
                <c:pt idx="68">
                  <c:v>Game69</c:v>
                </c:pt>
                <c:pt idx="69">
                  <c:v>Game70</c:v>
                </c:pt>
              </c:strCache>
            </c:strRef>
          </c:xVal>
          <c:yVal>
            <c:numRef>
              <c:f>TOTAL!$J$10:$J$100</c:f>
              <c:numCache>
                <c:formatCode>"$"#,##0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6D-41C1-9940-A88856269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93760"/>
        <c:axId val="216295296"/>
      </c:scatterChart>
      <c:valAx>
        <c:axId val="21629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6295296"/>
        <c:crosses val="autoZero"/>
        <c:crossBetween val="midCat"/>
      </c:valAx>
      <c:valAx>
        <c:axId val="216295296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216293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TOTAL!$B$3</c:f>
              <c:strCache>
                <c:ptCount val="1"/>
                <c:pt idx="0">
                  <c:v>JAMIE</c:v>
                </c:pt>
              </c:strCache>
            </c:strRef>
          </c:tx>
          <c:invertIfNegative val="0"/>
          <c:val>
            <c:numRef>
              <c:f>TOTAL!$B$10:$B$80</c:f>
              <c:numCache>
                <c:formatCode>"$"#,##0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4-4658-BB2D-6896084BA1F2}"/>
            </c:ext>
          </c:extLst>
        </c:ser>
        <c:ser>
          <c:idx val="1"/>
          <c:order val="1"/>
          <c:tx>
            <c:strRef>
              <c:f>TOTAL!$C$3</c:f>
              <c:strCache>
                <c:ptCount val="1"/>
                <c:pt idx="0">
                  <c:v>MATT</c:v>
                </c:pt>
              </c:strCache>
            </c:strRef>
          </c:tx>
          <c:invertIfNegative val="0"/>
          <c:val>
            <c:numRef>
              <c:f>TOTAL!$C$10:$C$84</c:f>
              <c:numCache>
                <c:formatCode>"$"#,##0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34-4658-BB2D-6896084BA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329216"/>
        <c:axId val="217129728"/>
      </c:barChart>
      <c:catAx>
        <c:axId val="216329216"/>
        <c:scaling>
          <c:orientation val="minMax"/>
        </c:scaling>
        <c:delete val="0"/>
        <c:axPos val="b"/>
        <c:majorTickMark val="out"/>
        <c:minorTickMark val="none"/>
        <c:tickLblPos val="nextTo"/>
        <c:crossAx val="217129728"/>
        <c:crosses val="autoZero"/>
        <c:auto val="1"/>
        <c:lblAlgn val="ctr"/>
        <c:lblOffset val="100"/>
        <c:noMultiLvlLbl val="0"/>
      </c:catAx>
      <c:valAx>
        <c:axId val="217129728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216329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2" dropStyle="combo" dx="16" fmlaRange="$K$11:$K$12" noThreeD="1" sel="0" val="0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8.emf"/><Relationship Id="rId3" Type="http://schemas.openxmlformats.org/officeDocument/2006/relationships/image" Target="../media/image8.emf"/><Relationship Id="rId7" Type="http://schemas.openxmlformats.org/officeDocument/2006/relationships/image" Target="../media/image9.emf"/><Relationship Id="rId12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0.emf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image" Target="../media/image16.emf"/><Relationship Id="rId1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597353</xdr:colOff>
      <xdr:row>1</xdr:row>
      <xdr:rowOff>96611</xdr:rowOff>
    </xdr:from>
    <xdr:to>
      <xdr:col>26</xdr:col>
      <xdr:colOff>285750</xdr:colOff>
      <xdr:row>26</xdr:row>
      <xdr:rowOff>134711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</xdr:colOff>
      <xdr:row>27</xdr:row>
      <xdr:rowOff>104774</xdr:rowOff>
    </xdr:from>
    <xdr:to>
      <xdr:col>26</xdr:col>
      <xdr:colOff>254000</xdr:colOff>
      <xdr:row>43</xdr:row>
      <xdr:rowOff>136072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57150</xdr:rowOff>
        </xdr:from>
        <xdr:to>
          <xdr:col>5</xdr:col>
          <xdr:colOff>19050</xdr:colOff>
          <xdr:row>5</xdr:row>
          <xdr:rowOff>133350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1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0292" rIns="73152" bIns="50292" anchor="ctr" upright="1"/>
            <a:lstStyle/>
            <a:p>
              <a:pPr algn="ctr" rtl="0">
                <a:defRPr sz="1000"/>
              </a:pPr>
              <a:r>
                <a:rPr lang="en-US" sz="3000" b="1" i="0" u="none" strike="noStrike" baseline="0">
                  <a:solidFill>
                    <a:srgbClr val="000000"/>
                  </a:solidFill>
                  <a:latin typeface="Rockwell Extra Bold"/>
                </a:rPr>
                <a:t>$400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6</xdr:row>
          <xdr:rowOff>47625</xdr:rowOff>
        </xdr:from>
        <xdr:to>
          <xdr:col>5</xdr:col>
          <xdr:colOff>0</xdr:colOff>
          <xdr:row>8</xdr:row>
          <xdr:rowOff>123825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1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0292" rIns="73152" bIns="50292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000000"/>
                  </a:solidFill>
                  <a:latin typeface="Rockwell Extra Bold"/>
                </a:rPr>
                <a:t>$800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9</xdr:row>
          <xdr:rowOff>47625</xdr:rowOff>
        </xdr:from>
        <xdr:to>
          <xdr:col>5</xdr:col>
          <xdr:colOff>19050</xdr:colOff>
          <xdr:row>11</xdr:row>
          <xdr:rowOff>123825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1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0292" rIns="73152" bIns="50292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000000"/>
                  </a:solidFill>
                  <a:latin typeface="Rockwell Extra Bold"/>
                </a:rPr>
                <a:t>$1200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38100</xdr:rowOff>
        </xdr:from>
        <xdr:to>
          <xdr:col>5</xdr:col>
          <xdr:colOff>19050</xdr:colOff>
          <xdr:row>14</xdr:row>
          <xdr:rowOff>114300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1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0292" rIns="73152" bIns="50292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000000"/>
                  </a:solidFill>
                  <a:latin typeface="Rockwell Extra Bold"/>
                </a:rPr>
                <a:t>$1600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15</xdr:row>
          <xdr:rowOff>28575</xdr:rowOff>
        </xdr:from>
        <xdr:to>
          <xdr:col>5</xdr:col>
          <xdr:colOff>19050</xdr:colOff>
          <xdr:row>17</xdr:row>
          <xdr:rowOff>104775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01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0292" rIns="73152" bIns="50292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000000"/>
                  </a:solidFill>
                  <a:latin typeface="Rockwell Extra Bold"/>
                </a:rPr>
                <a:t>$2000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3</xdr:row>
          <xdr:rowOff>57150</xdr:rowOff>
        </xdr:from>
        <xdr:to>
          <xdr:col>7</xdr:col>
          <xdr:colOff>9525</xdr:colOff>
          <xdr:row>5</xdr:row>
          <xdr:rowOff>133350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01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0292" rIns="73152" bIns="50292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000000"/>
                  </a:solidFill>
                  <a:latin typeface="Rockwell Extra Bold"/>
                </a:rPr>
                <a:t>$400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6</xdr:row>
          <xdr:rowOff>47625</xdr:rowOff>
        </xdr:from>
        <xdr:to>
          <xdr:col>7</xdr:col>
          <xdr:colOff>19050</xdr:colOff>
          <xdr:row>8</xdr:row>
          <xdr:rowOff>123825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01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0292" rIns="73152" bIns="50292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000000"/>
                  </a:solidFill>
                  <a:latin typeface="Rockwell Extra Bold"/>
                </a:rPr>
                <a:t>$800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9</xdr:row>
          <xdr:rowOff>47625</xdr:rowOff>
        </xdr:from>
        <xdr:to>
          <xdr:col>7</xdr:col>
          <xdr:colOff>9525</xdr:colOff>
          <xdr:row>11</xdr:row>
          <xdr:rowOff>123825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01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0292" rIns="73152" bIns="50292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000000"/>
                  </a:solidFill>
                  <a:latin typeface="Rockwell Extra Bold"/>
                </a:rPr>
                <a:t>$1200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12</xdr:row>
          <xdr:rowOff>38100</xdr:rowOff>
        </xdr:from>
        <xdr:to>
          <xdr:col>7</xdr:col>
          <xdr:colOff>9525</xdr:colOff>
          <xdr:row>14</xdr:row>
          <xdr:rowOff>114300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1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0292" rIns="73152" bIns="50292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000000"/>
                  </a:solidFill>
                  <a:latin typeface="Rockwell Extra Bold"/>
                </a:rPr>
                <a:t>$1600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15</xdr:row>
          <xdr:rowOff>28575</xdr:rowOff>
        </xdr:from>
        <xdr:to>
          <xdr:col>7</xdr:col>
          <xdr:colOff>9525</xdr:colOff>
          <xdr:row>17</xdr:row>
          <xdr:rowOff>104775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1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0292" rIns="73152" bIns="50292" anchor="ctr" upright="1"/>
            <a:lstStyle/>
            <a:p>
              <a:pPr algn="ctr" rtl="0">
                <a:defRPr sz="1000"/>
              </a:pPr>
              <a:r>
                <a:rPr lang="en-US" sz="3000" b="0" i="0" u="none" strike="noStrike" baseline="0">
                  <a:solidFill>
                    <a:srgbClr val="000000"/>
                  </a:solidFill>
                  <a:latin typeface="Rockwell Extra Bold"/>
                </a:rPr>
                <a:t>$2000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0</xdr:col>
          <xdr:colOff>1333500</xdr:colOff>
          <xdr:row>0</xdr:row>
          <xdr:rowOff>647700</xdr:rowOff>
        </xdr:to>
        <xdr:sp macro="" textlink="">
          <xdr:nvSpPr>
            <xdr:cNvPr id="72717" name="Drop Down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1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3</xdr:row>
          <xdr:rowOff>76200</xdr:rowOff>
        </xdr:from>
        <xdr:to>
          <xdr:col>8</xdr:col>
          <xdr:colOff>1657350</xdr:colOff>
          <xdr:row>5</xdr:row>
          <xdr:rowOff>133350</xdr:rowOff>
        </xdr:to>
        <xdr:sp macro="" textlink="">
          <xdr:nvSpPr>
            <xdr:cNvPr id="72720" name="Button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1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Rockwell Extra Bold"/>
                </a:rPr>
                <a:t>Clear Board!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2</xdr:row>
          <xdr:rowOff>190500</xdr:rowOff>
        </xdr:from>
        <xdr:to>
          <xdr:col>4</xdr:col>
          <xdr:colOff>2305050</xdr:colOff>
          <xdr:row>5</xdr:row>
          <xdr:rowOff>28575</xdr:rowOff>
        </xdr:to>
        <xdr:sp macro="" textlink="">
          <xdr:nvSpPr>
            <xdr:cNvPr id="72721" name="B_p1_200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1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5</xdr:row>
          <xdr:rowOff>180975</xdr:rowOff>
        </xdr:from>
        <xdr:to>
          <xdr:col>4</xdr:col>
          <xdr:colOff>2305050</xdr:colOff>
          <xdr:row>8</xdr:row>
          <xdr:rowOff>9525</xdr:rowOff>
        </xdr:to>
        <xdr:sp macro="" textlink="">
          <xdr:nvSpPr>
            <xdr:cNvPr id="72724" name="b_p1_40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1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8</xdr:row>
          <xdr:rowOff>123825</xdr:rowOff>
        </xdr:from>
        <xdr:to>
          <xdr:col>4</xdr:col>
          <xdr:colOff>2295525</xdr:colOff>
          <xdr:row>10</xdr:row>
          <xdr:rowOff>209550</xdr:rowOff>
        </xdr:to>
        <xdr:sp macro="" textlink="">
          <xdr:nvSpPr>
            <xdr:cNvPr id="72725" name="B_p1_600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1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11</xdr:row>
          <xdr:rowOff>133350</xdr:rowOff>
        </xdr:from>
        <xdr:to>
          <xdr:col>4</xdr:col>
          <xdr:colOff>2295525</xdr:colOff>
          <xdr:row>13</xdr:row>
          <xdr:rowOff>219075</xdr:rowOff>
        </xdr:to>
        <xdr:sp macro="" textlink="">
          <xdr:nvSpPr>
            <xdr:cNvPr id="72726" name="B_p1_800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1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14</xdr:row>
          <xdr:rowOff>114300</xdr:rowOff>
        </xdr:from>
        <xdr:to>
          <xdr:col>4</xdr:col>
          <xdr:colOff>2305050</xdr:colOff>
          <xdr:row>16</xdr:row>
          <xdr:rowOff>200025</xdr:rowOff>
        </xdr:to>
        <xdr:sp macro="" textlink="">
          <xdr:nvSpPr>
            <xdr:cNvPr id="72727" name="B_p1_1000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1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581024</xdr:colOff>
      <xdr:row>9</xdr:row>
      <xdr:rowOff>47625</xdr:rowOff>
    </xdr:from>
    <xdr:to>
      <xdr:col>11</xdr:col>
      <xdr:colOff>561133</xdr:colOff>
      <xdr:row>28</xdr:row>
      <xdr:rowOff>19050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57824" y="1504950"/>
          <a:ext cx="2208959" cy="316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28575</xdr:colOff>
      <xdr:row>9</xdr:row>
      <xdr:rowOff>136392</xdr:rowOff>
    </xdr:from>
    <xdr:to>
      <xdr:col>5</xdr:col>
      <xdr:colOff>485775</xdr:colOff>
      <xdr:row>22</xdr:row>
      <xdr:rowOff>142875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375" y="1593717"/>
          <a:ext cx="1676400" cy="222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21</xdr:row>
      <xdr:rowOff>57150</xdr:rowOff>
    </xdr:from>
    <xdr:to>
      <xdr:col>14</xdr:col>
      <xdr:colOff>523875</xdr:colOff>
      <xdr:row>46</xdr:row>
      <xdr:rowOff>104775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71875"/>
          <a:ext cx="9448800" cy="409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588818</xdr:colOff>
      <xdr:row>28</xdr:row>
      <xdr:rowOff>82261</xdr:rowOff>
    </xdr:from>
    <xdr:to>
      <xdr:col>5</xdr:col>
      <xdr:colOff>596843</xdr:colOff>
      <xdr:row>34</xdr:row>
      <xdr:rowOff>106506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809750" y="4684568"/>
          <a:ext cx="1839423" cy="985404"/>
        </a:xfrm>
        <a:custGeom>
          <a:avLst/>
          <a:gdLst>
            <a:gd name="connsiteX0" fmla="*/ 0 w 1077058"/>
            <a:gd name="connsiteY0" fmla="*/ 0 h 710712"/>
            <a:gd name="connsiteX1" fmla="*/ 1077058 w 1077058"/>
            <a:gd name="connsiteY1" fmla="*/ 0 h 710712"/>
            <a:gd name="connsiteX2" fmla="*/ 1077058 w 1077058"/>
            <a:gd name="connsiteY2" fmla="*/ 710712 h 710712"/>
            <a:gd name="connsiteX3" fmla="*/ 0 w 1077058"/>
            <a:gd name="connsiteY3" fmla="*/ 710712 h 710712"/>
            <a:gd name="connsiteX4" fmla="*/ 0 w 1077058"/>
            <a:gd name="connsiteY4" fmla="*/ 0 h 710712"/>
            <a:gd name="connsiteX0" fmla="*/ 0 w 1077058"/>
            <a:gd name="connsiteY0" fmla="*/ 0 h 710712"/>
            <a:gd name="connsiteX1" fmla="*/ 1077058 w 1077058"/>
            <a:gd name="connsiteY1" fmla="*/ 0 h 710712"/>
            <a:gd name="connsiteX2" fmla="*/ 1077058 w 1077058"/>
            <a:gd name="connsiteY2" fmla="*/ 710712 h 710712"/>
            <a:gd name="connsiteX3" fmla="*/ 21759 w 1077058"/>
            <a:gd name="connsiteY3" fmla="*/ 710712 h 710712"/>
            <a:gd name="connsiteX4" fmla="*/ 0 w 1077058"/>
            <a:gd name="connsiteY4" fmla="*/ 0 h 710712"/>
            <a:gd name="connsiteX0" fmla="*/ 0 w 1077058"/>
            <a:gd name="connsiteY0" fmla="*/ 0 h 710712"/>
            <a:gd name="connsiteX1" fmla="*/ 1077058 w 1077058"/>
            <a:gd name="connsiteY1" fmla="*/ 0 h 710712"/>
            <a:gd name="connsiteX2" fmla="*/ 1077058 w 1077058"/>
            <a:gd name="connsiteY2" fmla="*/ 710712 h 710712"/>
            <a:gd name="connsiteX3" fmla="*/ 21759 w 1077058"/>
            <a:gd name="connsiteY3" fmla="*/ 710712 h 710712"/>
            <a:gd name="connsiteX4" fmla="*/ 0 w 1077058"/>
            <a:gd name="connsiteY4" fmla="*/ 0 h 710712"/>
            <a:gd name="connsiteX0" fmla="*/ 0 w 1084290"/>
            <a:gd name="connsiteY0" fmla="*/ 0 h 722479"/>
            <a:gd name="connsiteX1" fmla="*/ 1084290 w 1084290"/>
            <a:gd name="connsiteY1" fmla="*/ 11767 h 722479"/>
            <a:gd name="connsiteX2" fmla="*/ 1084290 w 1084290"/>
            <a:gd name="connsiteY2" fmla="*/ 722479 h 722479"/>
            <a:gd name="connsiteX3" fmla="*/ 28991 w 1084290"/>
            <a:gd name="connsiteY3" fmla="*/ 722479 h 722479"/>
            <a:gd name="connsiteX4" fmla="*/ 0 w 1084290"/>
            <a:gd name="connsiteY4" fmla="*/ 0 h 722479"/>
            <a:gd name="connsiteX0" fmla="*/ 0 w 1084290"/>
            <a:gd name="connsiteY0" fmla="*/ 11767 h 734246"/>
            <a:gd name="connsiteX1" fmla="*/ 1081880 w 1084290"/>
            <a:gd name="connsiteY1" fmla="*/ 0 h 734246"/>
            <a:gd name="connsiteX2" fmla="*/ 1084290 w 1084290"/>
            <a:gd name="connsiteY2" fmla="*/ 734246 h 734246"/>
            <a:gd name="connsiteX3" fmla="*/ 28991 w 1084290"/>
            <a:gd name="connsiteY3" fmla="*/ 734246 h 734246"/>
            <a:gd name="connsiteX4" fmla="*/ 0 w 1084290"/>
            <a:gd name="connsiteY4" fmla="*/ 11767 h 734246"/>
            <a:gd name="connsiteX0" fmla="*/ 27426 w 1055299"/>
            <a:gd name="connsiteY0" fmla="*/ 110016 h 734246"/>
            <a:gd name="connsiteX1" fmla="*/ 1052889 w 1055299"/>
            <a:gd name="connsiteY1" fmla="*/ 0 h 734246"/>
            <a:gd name="connsiteX2" fmla="*/ 1055299 w 1055299"/>
            <a:gd name="connsiteY2" fmla="*/ 734246 h 734246"/>
            <a:gd name="connsiteX3" fmla="*/ 0 w 1055299"/>
            <a:gd name="connsiteY3" fmla="*/ 734246 h 734246"/>
            <a:gd name="connsiteX4" fmla="*/ 27426 w 1055299"/>
            <a:gd name="connsiteY4" fmla="*/ 110016 h 734246"/>
            <a:gd name="connsiteX0" fmla="*/ 0 w 1071468"/>
            <a:gd name="connsiteY0" fmla="*/ 28142 h 734246"/>
            <a:gd name="connsiteX1" fmla="*/ 1069058 w 1071468"/>
            <a:gd name="connsiteY1" fmla="*/ 0 h 734246"/>
            <a:gd name="connsiteX2" fmla="*/ 1071468 w 1071468"/>
            <a:gd name="connsiteY2" fmla="*/ 734246 h 734246"/>
            <a:gd name="connsiteX3" fmla="*/ 16169 w 1071468"/>
            <a:gd name="connsiteY3" fmla="*/ 734246 h 734246"/>
            <a:gd name="connsiteX4" fmla="*/ 0 w 1071468"/>
            <a:gd name="connsiteY4" fmla="*/ 28142 h 734246"/>
            <a:gd name="connsiteX0" fmla="*/ 0 w 1071468"/>
            <a:gd name="connsiteY0" fmla="*/ 28142 h 734246"/>
            <a:gd name="connsiteX1" fmla="*/ 1069058 w 1071468"/>
            <a:gd name="connsiteY1" fmla="*/ 0 h 734246"/>
            <a:gd name="connsiteX2" fmla="*/ 1071468 w 1071468"/>
            <a:gd name="connsiteY2" fmla="*/ 734246 h 734246"/>
            <a:gd name="connsiteX3" fmla="*/ 67457 w 1071468"/>
            <a:gd name="connsiteY3" fmla="*/ 652372 h 734246"/>
            <a:gd name="connsiteX4" fmla="*/ 0 w 1071468"/>
            <a:gd name="connsiteY4" fmla="*/ 28142 h 734246"/>
            <a:gd name="connsiteX0" fmla="*/ 0 w 1071468"/>
            <a:gd name="connsiteY0" fmla="*/ 28142 h 757170"/>
            <a:gd name="connsiteX1" fmla="*/ 1069058 w 1071468"/>
            <a:gd name="connsiteY1" fmla="*/ 0 h 757170"/>
            <a:gd name="connsiteX2" fmla="*/ 1071468 w 1071468"/>
            <a:gd name="connsiteY2" fmla="*/ 734246 h 757170"/>
            <a:gd name="connsiteX3" fmla="*/ 11040 w 1071468"/>
            <a:gd name="connsiteY3" fmla="*/ 757170 h 757170"/>
            <a:gd name="connsiteX4" fmla="*/ 0 w 1071468"/>
            <a:gd name="connsiteY4" fmla="*/ 28142 h 757170"/>
            <a:gd name="connsiteX0" fmla="*/ 0 w 1071468"/>
            <a:gd name="connsiteY0" fmla="*/ 28142 h 757170"/>
            <a:gd name="connsiteX1" fmla="*/ 1069058 w 1071468"/>
            <a:gd name="connsiteY1" fmla="*/ 0 h 757170"/>
            <a:gd name="connsiteX2" fmla="*/ 1071468 w 1071468"/>
            <a:gd name="connsiteY2" fmla="*/ 744070 h 757170"/>
            <a:gd name="connsiteX3" fmla="*/ 11040 w 1071468"/>
            <a:gd name="connsiteY3" fmla="*/ 757170 h 757170"/>
            <a:gd name="connsiteX4" fmla="*/ 0 w 1071468"/>
            <a:gd name="connsiteY4" fmla="*/ 28142 h 757170"/>
            <a:gd name="connsiteX0" fmla="*/ 0 w 1071468"/>
            <a:gd name="connsiteY0" fmla="*/ 190 h 729218"/>
            <a:gd name="connsiteX1" fmla="*/ 1025463 w 1071468"/>
            <a:gd name="connsiteY1" fmla="*/ 50647 h 729218"/>
            <a:gd name="connsiteX2" fmla="*/ 1071468 w 1071468"/>
            <a:gd name="connsiteY2" fmla="*/ 716118 h 729218"/>
            <a:gd name="connsiteX3" fmla="*/ 11040 w 1071468"/>
            <a:gd name="connsiteY3" fmla="*/ 729218 h 729218"/>
            <a:gd name="connsiteX4" fmla="*/ 0 w 1071468"/>
            <a:gd name="connsiteY4" fmla="*/ 190 h 729218"/>
            <a:gd name="connsiteX0" fmla="*/ 0 w 1071468"/>
            <a:gd name="connsiteY0" fmla="*/ 8492 h 737520"/>
            <a:gd name="connsiteX1" fmla="*/ 1066493 w 1071468"/>
            <a:gd name="connsiteY1" fmla="*/ 0 h 737520"/>
            <a:gd name="connsiteX2" fmla="*/ 1071468 w 1071468"/>
            <a:gd name="connsiteY2" fmla="*/ 724420 h 737520"/>
            <a:gd name="connsiteX3" fmla="*/ 11040 w 1071468"/>
            <a:gd name="connsiteY3" fmla="*/ 737520 h 737520"/>
            <a:gd name="connsiteX4" fmla="*/ 0 w 1071468"/>
            <a:gd name="connsiteY4" fmla="*/ 8492 h 737520"/>
            <a:gd name="connsiteX0" fmla="*/ 0 w 1071837"/>
            <a:gd name="connsiteY0" fmla="*/ 11767 h 740795"/>
            <a:gd name="connsiteX1" fmla="*/ 1071622 w 1071837"/>
            <a:gd name="connsiteY1" fmla="*/ 0 h 740795"/>
            <a:gd name="connsiteX2" fmla="*/ 1071468 w 1071837"/>
            <a:gd name="connsiteY2" fmla="*/ 727695 h 740795"/>
            <a:gd name="connsiteX3" fmla="*/ 11040 w 1071837"/>
            <a:gd name="connsiteY3" fmla="*/ 740795 h 740795"/>
            <a:gd name="connsiteX4" fmla="*/ 0 w 1071837"/>
            <a:gd name="connsiteY4" fmla="*/ 11767 h 740795"/>
            <a:gd name="connsiteX0" fmla="*/ 0 w 1071468"/>
            <a:gd name="connsiteY0" fmla="*/ 0 h 729028"/>
            <a:gd name="connsiteX1" fmla="*/ 1038836 w 1071468"/>
            <a:gd name="connsiteY1" fmla="*/ 17526 h 729028"/>
            <a:gd name="connsiteX2" fmla="*/ 1071468 w 1071468"/>
            <a:gd name="connsiteY2" fmla="*/ 715928 h 729028"/>
            <a:gd name="connsiteX3" fmla="*/ 11040 w 1071468"/>
            <a:gd name="connsiteY3" fmla="*/ 729028 h 729028"/>
            <a:gd name="connsiteX4" fmla="*/ 0 w 1071468"/>
            <a:gd name="connsiteY4" fmla="*/ 0 h 729028"/>
            <a:gd name="connsiteX0" fmla="*/ 0 w 1071468"/>
            <a:gd name="connsiteY0" fmla="*/ 11767 h 740795"/>
            <a:gd name="connsiteX1" fmla="*/ 1059012 w 1071468"/>
            <a:gd name="connsiteY1" fmla="*/ 0 h 740795"/>
            <a:gd name="connsiteX2" fmla="*/ 1071468 w 1071468"/>
            <a:gd name="connsiteY2" fmla="*/ 727695 h 740795"/>
            <a:gd name="connsiteX3" fmla="*/ 11040 w 1071468"/>
            <a:gd name="connsiteY3" fmla="*/ 740795 h 740795"/>
            <a:gd name="connsiteX4" fmla="*/ 0 w 1071468"/>
            <a:gd name="connsiteY4" fmla="*/ 11767 h 74079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071468" h="740795">
              <a:moveTo>
                <a:pt x="0" y="11767"/>
              </a:moveTo>
              <a:lnTo>
                <a:pt x="1059012" y="0"/>
              </a:lnTo>
              <a:cubicBezTo>
                <a:pt x="1059815" y="244749"/>
                <a:pt x="1070665" y="482946"/>
                <a:pt x="1071468" y="727695"/>
              </a:cubicBezTo>
              <a:lnTo>
                <a:pt x="11040" y="740795"/>
              </a:lnTo>
              <a:lnTo>
                <a:pt x="0" y="11767"/>
              </a:lnTo>
              <a:close/>
            </a:path>
          </a:pathLst>
        </a:custGeom>
        <a:solidFill>
          <a:srgbClr val="000086"/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200">
              <a:latin typeface="Comic Sans MS" panose="030F0702030302020204" pitchFamily="66" charset="0"/>
            </a:rPr>
            <a:t>MATT</a:t>
          </a:r>
        </a:p>
      </xdr:txBody>
    </xdr:sp>
    <xdr:clientData/>
  </xdr:twoCellAnchor>
  <xdr:twoCellAnchor>
    <xdr:from>
      <xdr:col>9</xdr:col>
      <xdr:colOff>210890</xdr:colOff>
      <xdr:row>28</xdr:row>
      <xdr:rowOff>81397</xdr:rowOff>
    </xdr:from>
    <xdr:to>
      <xdr:col>11</xdr:col>
      <xdr:colOff>397976</xdr:colOff>
      <xdr:row>34</xdr:row>
      <xdr:rowOff>107670</xdr:rowOff>
    </xdr:to>
    <xdr:sp macro="" textlink="">
      <xdr:nvSpPr>
        <xdr:cNvPr id="5" name="Freeform: Shap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705083" y="4683704"/>
          <a:ext cx="1806336" cy="987432"/>
        </a:xfrm>
        <a:custGeom>
          <a:avLst/>
          <a:gdLst>
            <a:gd name="connsiteX0" fmla="*/ 0 w 1077058"/>
            <a:gd name="connsiteY0" fmla="*/ 0 h 710712"/>
            <a:gd name="connsiteX1" fmla="*/ 1077058 w 1077058"/>
            <a:gd name="connsiteY1" fmla="*/ 0 h 710712"/>
            <a:gd name="connsiteX2" fmla="*/ 1077058 w 1077058"/>
            <a:gd name="connsiteY2" fmla="*/ 710712 h 710712"/>
            <a:gd name="connsiteX3" fmla="*/ 0 w 1077058"/>
            <a:gd name="connsiteY3" fmla="*/ 710712 h 710712"/>
            <a:gd name="connsiteX4" fmla="*/ 0 w 1077058"/>
            <a:gd name="connsiteY4" fmla="*/ 0 h 710712"/>
            <a:gd name="connsiteX0" fmla="*/ 7196 w 1077058"/>
            <a:gd name="connsiteY0" fmla="*/ 0 h 745134"/>
            <a:gd name="connsiteX1" fmla="*/ 1077058 w 1077058"/>
            <a:gd name="connsiteY1" fmla="*/ 34422 h 745134"/>
            <a:gd name="connsiteX2" fmla="*/ 1077058 w 1077058"/>
            <a:gd name="connsiteY2" fmla="*/ 745134 h 745134"/>
            <a:gd name="connsiteX3" fmla="*/ 0 w 1077058"/>
            <a:gd name="connsiteY3" fmla="*/ 745134 h 745134"/>
            <a:gd name="connsiteX4" fmla="*/ 7196 w 1077058"/>
            <a:gd name="connsiteY4" fmla="*/ 0 h 745134"/>
            <a:gd name="connsiteX0" fmla="*/ 115 w 1069977"/>
            <a:gd name="connsiteY0" fmla="*/ 0 h 745134"/>
            <a:gd name="connsiteX1" fmla="*/ 1069977 w 1069977"/>
            <a:gd name="connsiteY1" fmla="*/ 34422 h 745134"/>
            <a:gd name="connsiteX2" fmla="*/ 1069977 w 1069977"/>
            <a:gd name="connsiteY2" fmla="*/ 745134 h 745134"/>
            <a:gd name="connsiteX3" fmla="*/ 31300 w 1069977"/>
            <a:gd name="connsiteY3" fmla="*/ 691935 h 745134"/>
            <a:gd name="connsiteX4" fmla="*/ 115 w 1069977"/>
            <a:gd name="connsiteY4" fmla="*/ 0 h 745134"/>
            <a:gd name="connsiteX0" fmla="*/ 154 w 1070016"/>
            <a:gd name="connsiteY0" fmla="*/ 0 h 745134"/>
            <a:gd name="connsiteX1" fmla="*/ 1070016 w 1070016"/>
            <a:gd name="connsiteY1" fmla="*/ 34422 h 745134"/>
            <a:gd name="connsiteX2" fmla="*/ 1070016 w 1070016"/>
            <a:gd name="connsiteY2" fmla="*/ 745134 h 745134"/>
            <a:gd name="connsiteX3" fmla="*/ 21744 w 1070016"/>
            <a:gd name="connsiteY3" fmla="*/ 745132 h 745134"/>
            <a:gd name="connsiteX4" fmla="*/ 154 w 1070016"/>
            <a:gd name="connsiteY4" fmla="*/ 0 h 745134"/>
            <a:gd name="connsiteX0" fmla="*/ 154 w 1070016"/>
            <a:gd name="connsiteY0" fmla="*/ 0 h 745132"/>
            <a:gd name="connsiteX1" fmla="*/ 1070016 w 1070016"/>
            <a:gd name="connsiteY1" fmla="*/ 34422 h 745132"/>
            <a:gd name="connsiteX2" fmla="*/ 1070016 w 1070016"/>
            <a:gd name="connsiteY2" fmla="*/ 742005 h 745132"/>
            <a:gd name="connsiteX3" fmla="*/ 21744 w 1070016"/>
            <a:gd name="connsiteY3" fmla="*/ 745132 h 745132"/>
            <a:gd name="connsiteX4" fmla="*/ 154 w 1070016"/>
            <a:gd name="connsiteY4" fmla="*/ 0 h 745132"/>
            <a:gd name="connsiteX0" fmla="*/ 154 w 1070016"/>
            <a:gd name="connsiteY0" fmla="*/ 0 h 745132"/>
            <a:gd name="connsiteX1" fmla="*/ 1067617 w 1070016"/>
            <a:gd name="connsiteY1" fmla="*/ 3129 h 745132"/>
            <a:gd name="connsiteX2" fmla="*/ 1070016 w 1070016"/>
            <a:gd name="connsiteY2" fmla="*/ 742005 h 745132"/>
            <a:gd name="connsiteX3" fmla="*/ 21744 w 1070016"/>
            <a:gd name="connsiteY3" fmla="*/ 745132 h 745132"/>
            <a:gd name="connsiteX4" fmla="*/ 154 w 1070016"/>
            <a:gd name="connsiteY4" fmla="*/ 0 h 745132"/>
            <a:gd name="connsiteX0" fmla="*/ 285 w 1070147"/>
            <a:gd name="connsiteY0" fmla="*/ 0 h 755202"/>
            <a:gd name="connsiteX1" fmla="*/ 1067748 w 1070147"/>
            <a:gd name="connsiteY1" fmla="*/ 3129 h 755202"/>
            <a:gd name="connsiteX2" fmla="*/ 1070147 w 1070147"/>
            <a:gd name="connsiteY2" fmla="*/ 742005 h 755202"/>
            <a:gd name="connsiteX3" fmla="*/ 9078 w 1070147"/>
            <a:gd name="connsiteY3" fmla="*/ 755202 h 755202"/>
            <a:gd name="connsiteX4" fmla="*/ 285 w 1070147"/>
            <a:gd name="connsiteY4" fmla="*/ 0 h 755202"/>
            <a:gd name="connsiteX0" fmla="*/ 285 w 1067847"/>
            <a:gd name="connsiteY0" fmla="*/ 0 h 755431"/>
            <a:gd name="connsiteX1" fmla="*/ 1067748 w 1067847"/>
            <a:gd name="connsiteY1" fmla="*/ 3129 h 755431"/>
            <a:gd name="connsiteX2" fmla="*/ 1065028 w 1067847"/>
            <a:gd name="connsiteY2" fmla="*/ 755431 h 755431"/>
            <a:gd name="connsiteX3" fmla="*/ 9078 w 1067847"/>
            <a:gd name="connsiteY3" fmla="*/ 755202 h 755431"/>
            <a:gd name="connsiteX4" fmla="*/ 285 w 1067847"/>
            <a:gd name="connsiteY4" fmla="*/ 0 h 755431"/>
            <a:gd name="connsiteX0" fmla="*/ 285 w 1065402"/>
            <a:gd name="connsiteY0" fmla="*/ 228 h 755659"/>
            <a:gd name="connsiteX1" fmla="*/ 1065189 w 1065402"/>
            <a:gd name="connsiteY1" fmla="*/ 0 h 755659"/>
            <a:gd name="connsiteX2" fmla="*/ 1065028 w 1065402"/>
            <a:gd name="connsiteY2" fmla="*/ 755659 h 755659"/>
            <a:gd name="connsiteX3" fmla="*/ 9078 w 1065402"/>
            <a:gd name="connsiteY3" fmla="*/ 755430 h 755659"/>
            <a:gd name="connsiteX4" fmla="*/ 285 w 1065402"/>
            <a:gd name="connsiteY4" fmla="*/ 228 h 755659"/>
            <a:gd name="connsiteX0" fmla="*/ 285 w 1067847"/>
            <a:gd name="connsiteY0" fmla="*/ 228 h 755659"/>
            <a:gd name="connsiteX1" fmla="*/ 1067748 w 1067847"/>
            <a:gd name="connsiteY1" fmla="*/ 0 h 755659"/>
            <a:gd name="connsiteX2" fmla="*/ 1065028 w 1067847"/>
            <a:gd name="connsiteY2" fmla="*/ 755659 h 755659"/>
            <a:gd name="connsiteX3" fmla="*/ 9078 w 1067847"/>
            <a:gd name="connsiteY3" fmla="*/ 755430 h 755659"/>
            <a:gd name="connsiteX4" fmla="*/ 285 w 1067847"/>
            <a:gd name="connsiteY4" fmla="*/ 228 h 755659"/>
            <a:gd name="connsiteX0" fmla="*/ 285 w 1067847"/>
            <a:gd name="connsiteY0" fmla="*/ 228 h 762372"/>
            <a:gd name="connsiteX1" fmla="*/ 1067748 w 1067847"/>
            <a:gd name="connsiteY1" fmla="*/ 0 h 762372"/>
            <a:gd name="connsiteX2" fmla="*/ 1065028 w 1067847"/>
            <a:gd name="connsiteY2" fmla="*/ 762372 h 762372"/>
            <a:gd name="connsiteX3" fmla="*/ 9078 w 1067847"/>
            <a:gd name="connsiteY3" fmla="*/ 755430 h 762372"/>
            <a:gd name="connsiteX4" fmla="*/ 285 w 1067847"/>
            <a:gd name="connsiteY4" fmla="*/ 228 h 762372"/>
            <a:gd name="connsiteX0" fmla="*/ 29599 w 1058769"/>
            <a:gd name="connsiteY0" fmla="*/ 37149 h 762372"/>
            <a:gd name="connsiteX1" fmla="*/ 1058670 w 1058769"/>
            <a:gd name="connsiteY1" fmla="*/ 0 h 762372"/>
            <a:gd name="connsiteX2" fmla="*/ 1055950 w 1058769"/>
            <a:gd name="connsiteY2" fmla="*/ 762372 h 762372"/>
            <a:gd name="connsiteX3" fmla="*/ 0 w 1058769"/>
            <a:gd name="connsiteY3" fmla="*/ 755430 h 762372"/>
            <a:gd name="connsiteX4" fmla="*/ 29599 w 1058769"/>
            <a:gd name="connsiteY4" fmla="*/ 37149 h 762372"/>
            <a:gd name="connsiteX0" fmla="*/ 285 w 1067848"/>
            <a:gd name="connsiteY0" fmla="*/ 0 h 765501"/>
            <a:gd name="connsiteX1" fmla="*/ 1067749 w 1067848"/>
            <a:gd name="connsiteY1" fmla="*/ 3129 h 765501"/>
            <a:gd name="connsiteX2" fmla="*/ 1065029 w 1067848"/>
            <a:gd name="connsiteY2" fmla="*/ 765501 h 765501"/>
            <a:gd name="connsiteX3" fmla="*/ 9079 w 1067848"/>
            <a:gd name="connsiteY3" fmla="*/ 758559 h 765501"/>
            <a:gd name="connsiteX4" fmla="*/ 285 w 1067848"/>
            <a:gd name="connsiteY4" fmla="*/ 0 h 76550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067848" h="765501">
              <a:moveTo>
                <a:pt x="285" y="0"/>
              </a:moveTo>
              <a:lnTo>
                <a:pt x="1067749" y="3129"/>
              </a:lnTo>
              <a:cubicBezTo>
                <a:pt x="1068549" y="249421"/>
                <a:pt x="1064229" y="519209"/>
                <a:pt x="1065029" y="765501"/>
              </a:cubicBezTo>
              <a:lnTo>
                <a:pt x="9079" y="758559"/>
              </a:lnTo>
              <a:cubicBezTo>
                <a:pt x="11478" y="510181"/>
                <a:pt x="-2114" y="248378"/>
                <a:pt x="285" y="0"/>
              </a:cubicBezTo>
              <a:close/>
            </a:path>
          </a:pathLst>
        </a:custGeom>
        <a:solidFill>
          <a:srgbClr val="000086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latin typeface="Comic Sans MS" panose="030F0702030302020204" pitchFamily="66" charset="0"/>
            </a:rPr>
            <a:t>JAMIE</a:t>
          </a:r>
        </a:p>
      </xdr:txBody>
    </xdr:sp>
    <xdr:clientData/>
  </xdr:twoCellAnchor>
  <xdr:twoCellAnchor>
    <xdr:from>
      <xdr:col>2</xdr:col>
      <xdr:colOff>561218</xdr:colOff>
      <xdr:row>22</xdr:row>
      <xdr:rowOff>160155</xdr:rowOff>
    </xdr:from>
    <xdr:to>
      <xdr:col>5</xdr:col>
      <xdr:colOff>562455</xdr:colOff>
      <xdr:row>25</xdr:row>
      <xdr:rowOff>159892</xdr:rowOff>
    </xdr:to>
    <xdr:sp macro="" textlink="$R$13">
      <xdr:nvSpPr>
        <xdr:cNvPr id="8" name="Freeform: Sha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82150" y="3801303"/>
          <a:ext cx="1832635" cy="480316"/>
        </a:xfrm>
        <a:custGeom>
          <a:avLst/>
          <a:gdLst>
            <a:gd name="connsiteX0" fmla="*/ 0 w 1077058"/>
            <a:gd name="connsiteY0" fmla="*/ 0 h 710712"/>
            <a:gd name="connsiteX1" fmla="*/ 1077058 w 1077058"/>
            <a:gd name="connsiteY1" fmla="*/ 0 h 710712"/>
            <a:gd name="connsiteX2" fmla="*/ 1077058 w 1077058"/>
            <a:gd name="connsiteY2" fmla="*/ 710712 h 710712"/>
            <a:gd name="connsiteX3" fmla="*/ 0 w 1077058"/>
            <a:gd name="connsiteY3" fmla="*/ 710712 h 710712"/>
            <a:gd name="connsiteX4" fmla="*/ 0 w 1077058"/>
            <a:gd name="connsiteY4" fmla="*/ 0 h 710712"/>
            <a:gd name="connsiteX0" fmla="*/ 0 w 1077058"/>
            <a:gd name="connsiteY0" fmla="*/ 18122 h 728834"/>
            <a:gd name="connsiteX1" fmla="*/ 1056171 w 1077058"/>
            <a:gd name="connsiteY1" fmla="*/ 0 h 728834"/>
            <a:gd name="connsiteX2" fmla="*/ 1077058 w 1077058"/>
            <a:gd name="connsiteY2" fmla="*/ 728834 h 728834"/>
            <a:gd name="connsiteX3" fmla="*/ 0 w 1077058"/>
            <a:gd name="connsiteY3" fmla="*/ 728834 h 728834"/>
            <a:gd name="connsiteX4" fmla="*/ 0 w 1077058"/>
            <a:gd name="connsiteY4" fmla="*/ 18122 h 728834"/>
            <a:gd name="connsiteX0" fmla="*/ 0 w 1067775"/>
            <a:gd name="connsiteY0" fmla="*/ 18122 h 728834"/>
            <a:gd name="connsiteX1" fmla="*/ 1056171 w 1067775"/>
            <a:gd name="connsiteY1" fmla="*/ 0 h 728834"/>
            <a:gd name="connsiteX2" fmla="*/ 1067775 w 1067775"/>
            <a:gd name="connsiteY2" fmla="*/ 716753 h 728834"/>
            <a:gd name="connsiteX3" fmla="*/ 0 w 1067775"/>
            <a:gd name="connsiteY3" fmla="*/ 728834 h 728834"/>
            <a:gd name="connsiteX4" fmla="*/ 0 w 1067775"/>
            <a:gd name="connsiteY4" fmla="*/ 18122 h 728834"/>
            <a:gd name="connsiteX0" fmla="*/ 0 w 1067775"/>
            <a:gd name="connsiteY0" fmla="*/ 18122 h 716753"/>
            <a:gd name="connsiteX1" fmla="*/ 1056171 w 1067775"/>
            <a:gd name="connsiteY1" fmla="*/ 0 h 716753"/>
            <a:gd name="connsiteX2" fmla="*/ 1067775 w 1067775"/>
            <a:gd name="connsiteY2" fmla="*/ 716753 h 716753"/>
            <a:gd name="connsiteX3" fmla="*/ 46415 w 1067775"/>
            <a:gd name="connsiteY3" fmla="*/ 595935 h 716753"/>
            <a:gd name="connsiteX4" fmla="*/ 0 w 1067775"/>
            <a:gd name="connsiteY4" fmla="*/ 18122 h 716753"/>
            <a:gd name="connsiteX0" fmla="*/ 0 w 1067775"/>
            <a:gd name="connsiteY0" fmla="*/ 18122 h 716753"/>
            <a:gd name="connsiteX1" fmla="*/ 1056171 w 1067775"/>
            <a:gd name="connsiteY1" fmla="*/ 0 h 716753"/>
            <a:gd name="connsiteX2" fmla="*/ 1067775 w 1067775"/>
            <a:gd name="connsiteY2" fmla="*/ 716753 h 716753"/>
            <a:gd name="connsiteX3" fmla="*/ 27849 w 1067775"/>
            <a:gd name="connsiteY3" fmla="*/ 698630 h 716753"/>
            <a:gd name="connsiteX4" fmla="*/ 0 w 1067775"/>
            <a:gd name="connsiteY4" fmla="*/ 18122 h 716753"/>
            <a:gd name="connsiteX0" fmla="*/ 27849 w 1039926"/>
            <a:gd name="connsiteY0" fmla="*/ 24164 h 716753"/>
            <a:gd name="connsiteX1" fmla="*/ 1028322 w 1039926"/>
            <a:gd name="connsiteY1" fmla="*/ 0 h 716753"/>
            <a:gd name="connsiteX2" fmla="*/ 1039926 w 1039926"/>
            <a:gd name="connsiteY2" fmla="*/ 716753 h 716753"/>
            <a:gd name="connsiteX3" fmla="*/ 0 w 1039926"/>
            <a:gd name="connsiteY3" fmla="*/ 698630 h 716753"/>
            <a:gd name="connsiteX4" fmla="*/ 27849 w 1039926"/>
            <a:gd name="connsiteY4" fmla="*/ 24164 h 716753"/>
            <a:gd name="connsiteX0" fmla="*/ 0 w 1046888"/>
            <a:gd name="connsiteY0" fmla="*/ 24164 h 716753"/>
            <a:gd name="connsiteX1" fmla="*/ 1035284 w 1046888"/>
            <a:gd name="connsiteY1" fmla="*/ 0 h 716753"/>
            <a:gd name="connsiteX2" fmla="*/ 1046888 w 1046888"/>
            <a:gd name="connsiteY2" fmla="*/ 716753 h 716753"/>
            <a:gd name="connsiteX3" fmla="*/ 6962 w 1046888"/>
            <a:gd name="connsiteY3" fmla="*/ 698630 h 716753"/>
            <a:gd name="connsiteX4" fmla="*/ 0 w 1046888"/>
            <a:gd name="connsiteY4" fmla="*/ 24164 h 716753"/>
            <a:gd name="connsiteX0" fmla="*/ 0 w 1037605"/>
            <a:gd name="connsiteY0" fmla="*/ 24164 h 704672"/>
            <a:gd name="connsiteX1" fmla="*/ 1035284 w 1037605"/>
            <a:gd name="connsiteY1" fmla="*/ 0 h 704672"/>
            <a:gd name="connsiteX2" fmla="*/ 1037605 w 1037605"/>
            <a:gd name="connsiteY2" fmla="*/ 704672 h 704672"/>
            <a:gd name="connsiteX3" fmla="*/ 6962 w 1037605"/>
            <a:gd name="connsiteY3" fmla="*/ 698630 h 704672"/>
            <a:gd name="connsiteX4" fmla="*/ 0 w 1037605"/>
            <a:gd name="connsiteY4" fmla="*/ 24164 h 704672"/>
            <a:gd name="connsiteX0" fmla="*/ 59758 w 1030705"/>
            <a:gd name="connsiteY0" fmla="*/ 174423 h 704672"/>
            <a:gd name="connsiteX1" fmla="*/ 1028384 w 1030705"/>
            <a:gd name="connsiteY1" fmla="*/ 0 h 704672"/>
            <a:gd name="connsiteX2" fmla="*/ 1030705 w 1030705"/>
            <a:gd name="connsiteY2" fmla="*/ 704672 h 704672"/>
            <a:gd name="connsiteX3" fmla="*/ 62 w 1030705"/>
            <a:gd name="connsiteY3" fmla="*/ 698630 h 704672"/>
            <a:gd name="connsiteX4" fmla="*/ 59758 w 1030705"/>
            <a:gd name="connsiteY4" fmla="*/ 174423 h 704672"/>
            <a:gd name="connsiteX0" fmla="*/ 0 w 1042543"/>
            <a:gd name="connsiteY0" fmla="*/ 380 h 811546"/>
            <a:gd name="connsiteX1" fmla="*/ 1040222 w 1042543"/>
            <a:gd name="connsiteY1" fmla="*/ 106874 h 811546"/>
            <a:gd name="connsiteX2" fmla="*/ 1042543 w 1042543"/>
            <a:gd name="connsiteY2" fmla="*/ 811546 h 811546"/>
            <a:gd name="connsiteX3" fmla="*/ 11900 w 1042543"/>
            <a:gd name="connsiteY3" fmla="*/ 805504 h 811546"/>
            <a:gd name="connsiteX4" fmla="*/ 0 w 1042543"/>
            <a:gd name="connsiteY4" fmla="*/ 380 h 811546"/>
            <a:gd name="connsiteX0" fmla="*/ 0 w 1042898"/>
            <a:gd name="connsiteY0" fmla="*/ 4567 h 815733"/>
            <a:gd name="connsiteX1" fmla="*/ 1042691 w 1042898"/>
            <a:gd name="connsiteY1" fmla="*/ 0 h 815733"/>
            <a:gd name="connsiteX2" fmla="*/ 1042543 w 1042898"/>
            <a:gd name="connsiteY2" fmla="*/ 815733 h 815733"/>
            <a:gd name="connsiteX3" fmla="*/ 11900 w 1042898"/>
            <a:gd name="connsiteY3" fmla="*/ 809691 h 815733"/>
            <a:gd name="connsiteX4" fmla="*/ 0 w 1042898"/>
            <a:gd name="connsiteY4" fmla="*/ 4567 h 815733"/>
            <a:gd name="connsiteX0" fmla="*/ 0 w 1042714"/>
            <a:gd name="connsiteY0" fmla="*/ 4567 h 809691"/>
            <a:gd name="connsiteX1" fmla="*/ 1042691 w 1042714"/>
            <a:gd name="connsiteY1" fmla="*/ 0 h 809691"/>
            <a:gd name="connsiteX2" fmla="*/ 1025262 w 1042714"/>
            <a:gd name="connsiteY2" fmla="*/ 724271 h 809691"/>
            <a:gd name="connsiteX3" fmla="*/ 11900 w 1042714"/>
            <a:gd name="connsiteY3" fmla="*/ 809691 h 809691"/>
            <a:gd name="connsiteX4" fmla="*/ 0 w 1042714"/>
            <a:gd name="connsiteY4" fmla="*/ 4567 h 809691"/>
            <a:gd name="connsiteX0" fmla="*/ 0 w 1045013"/>
            <a:gd name="connsiteY0" fmla="*/ 4567 h 809691"/>
            <a:gd name="connsiteX1" fmla="*/ 1042691 w 1045013"/>
            <a:gd name="connsiteY1" fmla="*/ 0 h 809691"/>
            <a:gd name="connsiteX2" fmla="*/ 1045013 w 1045013"/>
            <a:gd name="connsiteY2" fmla="*/ 711205 h 809691"/>
            <a:gd name="connsiteX3" fmla="*/ 11900 w 1045013"/>
            <a:gd name="connsiteY3" fmla="*/ 809691 h 809691"/>
            <a:gd name="connsiteX4" fmla="*/ 0 w 1045013"/>
            <a:gd name="connsiteY4" fmla="*/ 4567 h 809691"/>
            <a:gd name="connsiteX0" fmla="*/ 0 w 1045013"/>
            <a:gd name="connsiteY0" fmla="*/ 4567 h 737828"/>
            <a:gd name="connsiteX1" fmla="*/ 1042691 w 1045013"/>
            <a:gd name="connsiteY1" fmla="*/ 0 h 737828"/>
            <a:gd name="connsiteX2" fmla="*/ 1045013 w 1045013"/>
            <a:gd name="connsiteY2" fmla="*/ 711205 h 737828"/>
            <a:gd name="connsiteX3" fmla="*/ 14369 w 1045013"/>
            <a:gd name="connsiteY3" fmla="*/ 737828 h 737828"/>
            <a:gd name="connsiteX4" fmla="*/ 0 w 1045013"/>
            <a:gd name="connsiteY4" fmla="*/ 4567 h 737828"/>
            <a:gd name="connsiteX0" fmla="*/ 0 w 1045013"/>
            <a:gd name="connsiteY0" fmla="*/ 4567 h 724761"/>
            <a:gd name="connsiteX1" fmla="*/ 1042691 w 1045013"/>
            <a:gd name="connsiteY1" fmla="*/ 0 h 724761"/>
            <a:gd name="connsiteX2" fmla="*/ 1045013 w 1045013"/>
            <a:gd name="connsiteY2" fmla="*/ 711205 h 724761"/>
            <a:gd name="connsiteX3" fmla="*/ 6962 w 1045013"/>
            <a:gd name="connsiteY3" fmla="*/ 724761 h 724761"/>
            <a:gd name="connsiteX4" fmla="*/ 0 w 1045013"/>
            <a:gd name="connsiteY4" fmla="*/ 4567 h 7247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045013" h="724761">
              <a:moveTo>
                <a:pt x="0" y="4567"/>
              </a:moveTo>
              <a:cubicBezTo>
                <a:pt x="345095" y="-3488"/>
                <a:pt x="697596" y="8055"/>
                <a:pt x="1042691" y="0"/>
              </a:cubicBezTo>
              <a:cubicBezTo>
                <a:pt x="1043465" y="234891"/>
                <a:pt x="1044239" y="476314"/>
                <a:pt x="1045013" y="711205"/>
              </a:cubicBezTo>
              <a:lnTo>
                <a:pt x="6962" y="724761"/>
              </a:lnTo>
              <a:cubicBezTo>
                <a:pt x="4641" y="499939"/>
                <a:pt x="2321" y="229389"/>
                <a:pt x="0" y="4567"/>
              </a:cubicBezTo>
              <a:close/>
            </a:path>
          </a:pathLst>
        </a:custGeom>
        <a:solidFill>
          <a:srgbClr val="000086"/>
        </a:solidFill>
        <a:ln w="285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2613388-DCE8-4AAD-A248-79858FC5ACDB}" type="TxLink">
            <a:rPr lang="en-US" sz="2800" b="0" i="0" u="none" strike="noStrike">
              <a:ln w="9525">
                <a:solidFill>
                  <a:sysClr val="windowText" lastClr="000000"/>
                </a:solidFill>
              </a:ln>
              <a:solidFill>
                <a:schemeClr val="bg1"/>
              </a:solidFill>
              <a:latin typeface="Arial Black"/>
              <a:cs typeface="Calibri"/>
            </a:rPr>
            <a:pPr algn="ctr"/>
            <a:t>$3,200</a:t>
          </a:fld>
          <a:endParaRPr lang="en-US" sz="2800" b="1">
            <a:ln w="9525">
              <a:solidFill>
                <a:sysClr val="windowText" lastClr="000000"/>
              </a:solidFill>
            </a:ln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9</xdr:col>
      <xdr:colOff>177512</xdr:colOff>
      <xdr:row>22</xdr:row>
      <xdr:rowOff>141380</xdr:rowOff>
    </xdr:from>
    <xdr:to>
      <xdr:col>11</xdr:col>
      <xdr:colOff>377026</xdr:colOff>
      <xdr:row>26</xdr:row>
      <xdr:rowOff>4330</xdr:rowOff>
    </xdr:to>
    <xdr:sp macro="" textlink="$V13">
      <xdr:nvSpPr>
        <xdr:cNvPr id="10" name="Freeform: Shap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671705" y="3782528"/>
          <a:ext cx="1818764" cy="503722"/>
        </a:xfrm>
        <a:custGeom>
          <a:avLst/>
          <a:gdLst>
            <a:gd name="connsiteX0" fmla="*/ 0 w 1077058"/>
            <a:gd name="connsiteY0" fmla="*/ 0 h 710712"/>
            <a:gd name="connsiteX1" fmla="*/ 1077058 w 1077058"/>
            <a:gd name="connsiteY1" fmla="*/ 0 h 710712"/>
            <a:gd name="connsiteX2" fmla="*/ 1077058 w 1077058"/>
            <a:gd name="connsiteY2" fmla="*/ 710712 h 710712"/>
            <a:gd name="connsiteX3" fmla="*/ 0 w 1077058"/>
            <a:gd name="connsiteY3" fmla="*/ 710712 h 710712"/>
            <a:gd name="connsiteX4" fmla="*/ 0 w 1077058"/>
            <a:gd name="connsiteY4" fmla="*/ 0 h 710712"/>
            <a:gd name="connsiteX0" fmla="*/ 0 w 1088281"/>
            <a:gd name="connsiteY0" fmla="*/ 0 h 710712"/>
            <a:gd name="connsiteX1" fmla="*/ 1077058 w 1088281"/>
            <a:gd name="connsiteY1" fmla="*/ 0 h 710712"/>
            <a:gd name="connsiteX2" fmla="*/ 1088281 w 1088281"/>
            <a:gd name="connsiteY2" fmla="*/ 696383 h 710712"/>
            <a:gd name="connsiteX3" fmla="*/ 0 w 1088281"/>
            <a:gd name="connsiteY3" fmla="*/ 710712 h 710712"/>
            <a:gd name="connsiteX4" fmla="*/ 0 w 1088281"/>
            <a:gd name="connsiteY4" fmla="*/ 0 h 710712"/>
            <a:gd name="connsiteX0" fmla="*/ 0 w 1105824"/>
            <a:gd name="connsiteY0" fmla="*/ 0 h 736063"/>
            <a:gd name="connsiteX1" fmla="*/ 1094601 w 1105824"/>
            <a:gd name="connsiteY1" fmla="*/ 25351 h 736063"/>
            <a:gd name="connsiteX2" fmla="*/ 1105824 w 1105824"/>
            <a:gd name="connsiteY2" fmla="*/ 721734 h 736063"/>
            <a:gd name="connsiteX3" fmla="*/ 17543 w 1105824"/>
            <a:gd name="connsiteY3" fmla="*/ 736063 h 736063"/>
            <a:gd name="connsiteX4" fmla="*/ 0 w 1105824"/>
            <a:gd name="connsiteY4" fmla="*/ 0 h 736063"/>
            <a:gd name="connsiteX0" fmla="*/ 0 w 1105824"/>
            <a:gd name="connsiteY0" fmla="*/ 0 h 736063"/>
            <a:gd name="connsiteX1" fmla="*/ 1094601 w 1105824"/>
            <a:gd name="connsiteY1" fmla="*/ 25351 h 736063"/>
            <a:gd name="connsiteX2" fmla="*/ 1105824 w 1105824"/>
            <a:gd name="connsiteY2" fmla="*/ 721734 h 736063"/>
            <a:gd name="connsiteX3" fmla="*/ 1 w 1105824"/>
            <a:gd name="connsiteY3" fmla="*/ 736063 h 736063"/>
            <a:gd name="connsiteX4" fmla="*/ 0 w 1105824"/>
            <a:gd name="connsiteY4" fmla="*/ 0 h 736063"/>
            <a:gd name="connsiteX0" fmla="*/ 0 w 1105824"/>
            <a:gd name="connsiteY0" fmla="*/ 19012 h 755075"/>
            <a:gd name="connsiteX1" fmla="*/ 1087082 w 1105824"/>
            <a:gd name="connsiteY1" fmla="*/ 0 h 755075"/>
            <a:gd name="connsiteX2" fmla="*/ 1105824 w 1105824"/>
            <a:gd name="connsiteY2" fmla="*/ 740746 h 755075"/>
            <a:gd name="connsiteX3" fmla="*/ 1 w 1105824"/>
            <a:gd name="connsiteY3" fmla="*/ 755075 h 755075"/>
            <a:gd name="connsiteX4" fmla="*/ 0 w 1105824"/>
            <a:gd name="connsiteY4" fmla="*/ 19012 h 755075"/>
            <a:gd name="connsiteX0" fmla="*/ 0 w 1105824"/>
            <a:gd name="connsiteY0" fmla="*/ 19012 h 755075"/>
            <a:gd name="connsiteX1" fmla="*/ 1087082 w 1105824"/>
            <a:gd name="connsiteY1" fmla="*/ 0 h 755075"/>
            <a:gd name="connsiteX2" fmla="*/ 1105824 w 1105824"/>
            <a:gd name="connsiteY2" fmla="*/ 740746 h 755075"/>
            <a:gd name="connsiteX3" fmla="*/ 1 w 1105824"/>
            <a:gd name="connsiteY3" fmla="*/ 755075 h 755075"/>
            <a:gd name="connsiteX4" fmla="*/ 0 w 1105824"/>
            <a:gd name="connsiteY4" fmla="*/ 19012 h 755075"/>
            <a:gd name="connsiteX0" fmla="*/ 0 w 1105824"/>
            <a:gd name="connsiteY0" fmla="*/ 280 h 845978"/>
            <a:gd name="connsiteX1" fmla="*/ 1087082 w 1105824"/>
            <a:gd name="connsiteY1" fmla="*/ 90903 h 845978"/>
            <a:gd name="connsiteX2" fmla="*/ 1105824 w 1105824"/>
            <a:gd name="connsiteY2" fmla="*/ 831649 h 845978"/>
            <a:gd name="connsiteX3" fmla="*/ 1 w 1105824"/>
            <a:gd name="connsiteY3" fmla="*/ 845978 h 845978"/>
            <a:gd name="connsiteX4" fmla="*/ 0 w 1105824"/>
            <a:gd name="connsiteY4" fmla="*/ 280 h 845978"/>
            <a:gd name="connsiteX0" fmla="*/ 0 w 1105824"/>
            <a:gd name="connsiteY0" fmla="*/ 53272 h 898970"/>
            <a:gd name="connsiteX1" fmla="*/ 1084408 w 1105824"/>
            <a:gd name="connsiteY1" fmla="*/ 0 h 898970"/>
            <a:gd name="connsiteX2" fmla="*/ 1105824 w 1105824"/>
            <a:gd name="connsiteY2" fmla="*/ 884641 h 898970"/>
            <a:gd name="connsiteX3" fmla="*/ 1 w 1105824"/>
            <a:gd name="connsiteY3" fmla="*/ 898970 h 898970"/>
            <a:gd name="connsiteX4" fmla="*/ 0 w 1105824"/>
            <a:gd name="connsiteY4" fmla="*/ 53272 h 898970"/>
            <a:gd name="connsiteX0" fmla="*/ 0 w 1087569"/>
            <a:gd name="connsiteY0" fmla="*/ 53272 h 898970"/>
            <a:gd name="connsiteX1" fmla="*/ 1084408 w 1087569"/>
            <a:gd name="connsiteY1" fmla="*/ 0 h 898970"/>
            <a:gd name="connsiteX2" fmla="*/ 1068388 w 1087569"/>
            <a:gd name="connsiteY2" fmla="*/ 850381 h 898970"/>
            <a:gd name="connsiteX3" fmla="*/ 1 w 1087569"/>
            <a:gd name="connsiteY3" fmla="*/ 898970 h 898970"/>
            <a:gd name="connsiteX4" fmla="*/ 0 w 1087569"/>
            <a:gd name="connsiteY4" fmla="*/ 53272 h 898970"/>
            <a:gd name="connsiteX0" fmla="*/ 0 w 1105824"/>
            <a:gd name="connsiteY0" fmla="*/ 53272 h 898970"/>
            <a:gd name="connsiteX1" fmla="*/ 1084408 w 1105824"/>
            <a:gd name="connsiteY1" fmla="*/ 0 h 898970"/>
            <a:gd name="connsiteX2" fmla="*/ 1105824 w 1105824"/>
            <a:gd name="connsiteY2" fmla="*/ 802415 h 898970"/>
            <a:gd name="connsiteX3" fmla="*/ 1 w 1105824"/>
            <a:gd name="connsiteY3" fmla="*/ 898970 h 898970"/>
            <a:gd name="connsiteX4" fmla="*/ 0 w 1105824"/>
            <a:gd name="connsiteY4" fmla="*/ 53272 h 898970"/>
            <a:gd name="connsiteX0" fmla="*/ 0 w 1105824"/>
            <a:gd name="connsiteY0" fmla="*/ 53272 h 803039"/>
            <a:gd name="connsiteX1" fmla="*/ 1084408 w 1105824"/>
            <a:gd name="connsiteY1" fmla="*/ 0 h 803039"/>
            <a:gd name="connsiteX2" fmla="*/ 1105824 w 1105824"/>
            <a:gd name="connsiteY2" fmla="*/ 802415 h 803039"/>
            <a:gd name="connsiteX3" fmla="*/ 29415 w 1105824"/>
            <a:gd name="connsiteY3" fmla="*/ 803039 h 803039"/>
            <a:gd name="connsiteX4" fmla="*/ 0 w 1105824"/>
            <a:gd name="connsiteY4" fmla="*/ 53272 h 803039"/>
            <a:gd name="connsiteX0" fmla="*/ 2673 w 1108497"/>
            <a:gd name="connsiteY0" fmla="*/ 53272 h 802415"/>
            <a:gd name="connsiteX1" fmla="*/ 1087081 w 1108497"/>
            <a:gd name="connsiteY1" fmla="*/ 0 h 802415"/>
            <a:gd name="connsiteX2" fmla="*/ 1108497 w 1108497"/>
            <a:gd name="connsiteY2" fmla="*/ 802415 h 802415"/>
            <a:gd name="connsiteX3" fmla="*/ 0 w 1108497"/>
            <a:gd name="connsiteY3" fmla="*/ 768778 h 802415"/>
            <a:gd name="connsiteX4" fmla="*/ 2673 w 1108497"/>
            <a:gd name="connsiteY4" fmla="*/ 53272 h 802415"/>
            <a:gd name="connsiteX0" fmla="*/ 2673 w 1108497"/>
            <a:gd name="connsiteY0" fmla="*/ 17831 h 766974"/>
            <a:gd name="connsiteX1" fmla="*/ 1095087 w 1108497"/>
            <a:gd name="connsiteY1" fmla="*/ 0 h 766974"/>
            <a:gd name="connsiteX2" fmla="*/ 1108497 w 1108497"/>
            <a:gd name="connsiteY2" fmla="*/ 766974 h 766974"/>
            <a:gd name="connsiteX3" fmla="*/ 0 w 1108497"/>
            <a:gd name="connsiteY3" fmla="*/ 733337 h 766974"/>
            <a:gd name="connsiteX4" fmla="*/ 2673 w 1108497"/>
            <a:gd name="connsiteY4" fmla="*/ 17831 h 766974"/>
            <a:gd name="connsiteX0" fmla="*/ 2673 w 1101224"/>
            <a:gd name="connsiteY0" fmla="*/ 17831 h 752798"/>
            <a:gd name="connsiteX1" fmla="*/ 1095087 w 1101224"/>
            <a:gd name="connsiteY1" fmla="*/ 0 h 752798"/>
            <a:gd name="connsiteX2" fmla="*/ 1100491 w 1101224"/>
            <a:gd name="connsiteY2" fmla="*/ 752798 h 752798"/>
            <a:gd name="connsiteX3" fmla="*/ 0 w 1101224"/>
            <a:gd name="connsiteY3" fmla="*/ 733337 h 752798"/>
            <a:gd name="connsiteX4" fmla="*/ 2673 w 1101224"/>
            <a:gd name="connsiteY4" fmla="*/ 17831 h 752798"/>
            <a:gd name="connsiteX0" fmla="*/ 2673 w 1101224"/>
            <a:gd name="connsiteY0" fmla="*/ 0 h 777496"/>
            <a:gd name="connsiteX1" fmla="*/ 1095087 w 1101224"/>
            <a:gd name="connsiteY1" fmla="*/ 24698 h 777496"/>
            <a:gd name="connsiteX2" fmla="*/ 1100491 w 1101224"/>
            <a:gd name="connsiteY2" fmla="*/ 777496 h 777496"/>
            <a:gd name="connsiteX3" fmla="*/ 0 w 1101224"/>
            <a:gd name="connsiteY3" fmla="*/ 758035 h 777496"/>
            <a:gd name="connsiteX4" fmla="*/ 2673 w 1101224"/>
            <a:gd name="connsiteY4" fmla="*/ 0 h 777496"/>
            <a:gd name="connsiteX0" fmla="*/ 2673 w 1101908"/>
            <a:gd name="connsiteY0" fmla="*/ 0 h 777496"/>
            <a:gd name="connsiteX1" fmla="*/ 1095087 w 1101908"/>
            <a:gd name="connsiteY1" fmla="*/ 24698 h 777496"/>
            <a:gd name="connsiteX2" fmla="*/ 1100491 w 1101908"/>
            <a:gd name="connsiteY2" fmla="*/ 777496 h 777496"/>
            <a:gd name="connsiteX3" fmla="*/ 0 w 1101908"/>
            <a:gd name="connsiteY3" fmla="*/ 758035 h 777496"/>
            <a:gd name="connsiteX4" fmla="*/ 2673 w 1101908"/>
            <a:gd name="connsiteY4" fmla="*/ 0 h 777496"/>
            <a:gd name="connsiteX0" fmla="*/ 0 w 1099235"/>
            <a:gd name="connsiteY0" fmla="*/ 0 h 785269"/>
            <a:gd name="connsiteX1" fmla="*/ 1092414 w 1099235"/>
            <a:gd name="connsiteY1" fmla="*/ 24698 h 785269"/>
            <a:gd name="connsiteX2" fmla="*/ 1097818 w 1099235"/>
            <a:gd name="connsiteY2" fmla="*/ 777496 h 785269"/>
            <a:gd name="connsiteX3" fmla="*/ 5198 w 1099235"/>
            <a:gd name="connsiteY3" fmla="*/ 785269 h 785269"/>
            <a:gd name="connsiteX4" fmla="*/ 0 w 1099235"/>
            <a:gd name="connsiteY4" fmla="*/ 0 h 785269"/>
            <a:gd name="connsiteX0" fmla="*/ 0 w 1097818"/>
            <a:gd name="connsiteY0" fmla="*/ 0 h 785269"/>
            <a:gd name="connsiteX1" fmla="*/ 1089791 w 1097818"/>
            <a:gd name="connsiteY1" fmla="*/ 31507 h 785269"/>
            <a:gd name="connsiteX2" fmla="*/ 1097818 w 1097818"/>
            <a:gd name="connsiteY2" fmla="*/ 777496 h 785269"/>
            <a:gd name="connsiteX3" fmla="*/ 5198 w 1097818"/>
            <a:gd name="connsiteY3" fmla="*/ 785269 h 785269"/>
            <a:gd name="connsiteX4" fmla="*/ 0 w 1097818"/>
            <a:gd name="connsiteY4" fmla="*/ 0 h 785269"/>
            <a:gd name="connsiteX0" fmla="*/ 0 w 1097818"/>
            <a:gd name="connsiteY0" fmla="*/ 0 h 785269"/>
            <a:gd name="connsiteX1" fmla="*/ 1089791 w 1097818"/>
            <a:gd name="connsiteY1" fmla="*/ 31507 h 785269"/>
            <a:gd name="connsiteX2" fmla="*/ 1097818 w 1097818"/>
            <a:gd name="connsiteY2" fmla="*/ 777496 h 785269"/>
            <a:gd name="connsiteX3" fmla="*/ 5198 w 1097818"/>
            <a:gd name="connsiteY3" fmla="*/ 785269 h 785269"/>
            <a:gd name="connsiteX4" fmla="*/ 0 w 1097818"/>
            <a:gd name="connsiteY4" fmla="*/ 0 h 785269"/>
            <a:gd name="connsiteX0" fmla="*/ 0 w 1090499"/>
            <a:gd name="connsiteY0" fmla="*/ 0 h 785269"/>
            <a:gd name="connsiteX1" fmla="*/ 1089791 w 1090499"/>
            <a:gd name="connsiteY1" fmla="*/ 31507 h 785269"/>
            <a:gd name="connsiteX2" fmla="*/ 1087324 w 1090499"/>
            <a:gd name="connsiteY2" fmla="*/ 777496 h 785269"/>
            <a:gd name="connsiteX3" fmla="*/ 5198 w 1090499"/>
            <a:gd name="connsiteY3" fmla="*/ 785269 h 785269"/>
            <a:gd name="connsiteX4" fmla="*/ 0 w 1090499"/>
            <a:gd name="connsiteY4" fmla="*/ 0 h 785269"/>
            <a:gd name="connsiteX0" fmla="*/ 0 w 1091579"/>
            <a:gd name="connsiteY0" fmla="*/ 0 h 785269"/>
            <a:gd name="connsiteX1" fmla="*/ 1089791 w 1091579"/>
            <a:gd name="connsiteY1" fmla="*/ 31507 h 785269"/>
            <a:gd name="connsiteX2" fmla="*/ 1087324 w 1091579"/>
            <a:gd name="connsiteY2" fmla="*/ 777496 h 785269"/>
            <a:gd name="connsiteX3" fmla="*/ 5198 w 1091579"/>
            <a:gd name="connsiteY3" fmla="*/ 785269 h 785269"/>
            <a:gd name="connsiteX4" fmla="*/ 0 w 1091579"/>
            <a:gd name="connsiteY4" fmla="*/ 0 h 785269"/>
            <a:gd name="connsiteX0" fmla="*/ 0 w 1091579"/>
            <a:gd name="connsiteY0" fmla="*/ 0 h 785269"/>
            <a:gd name="connsiteX1" fmla="*/ 1089791 w 1091579"/>
            <a:gd name="connsiteY1" fmla="*/ 31507 h 785269"/>
            <a:gd name="connsiteX2" fmla="*/ 1087324 w 1091579"/>
            <a:gd name="connsiteY2" fmla="*/ 770689 h 785269"/>
            <a:gd name="connsiteX3" fmla="*/ 5198 w 1091579"/>
            <a:gd name="connsiteY3" fmla="*/ 785269 h 785269"/>
            <a:gd name="connsiteX4" fmla="*/ 0 w 1091579"/>
            <a:gd name="connsiteY4" fmla="*/ 0 h 785269"/>
            <a:gd name="connsiteX0" fmla="*/ 0 w 1091579"/>
            <a:gd name="connsiteY0" fmla="*/ 2339 h 787608"/>
            <a:gd name="connsiteX1" fmla="*/ 1089791 w 1091579"/>
            <a:gd name="connsiteY1" fmla="*/ 0 h 787608"/>
            <a:gd name="connsiteX2" fmla="*/ 1087324 w 1091579"/>
            <a:gd name="connsiteY2" fmla="*/ 773028 h 787608"/>
            <a:gd name="connsiteX3" fmla="*/ 5198 w 1091579"/>
            <a:gd name="connsiteY3" fmla="*/ 787608 h 787608"/>
            <a:gd name="connsiteX4" fmla="*/ 0 w 1091579"/>
            <a:gd name="connsiteY4" fmla="*/ 2339 h 7876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091579" h="787608">
              <a:moveTo>
                <a:pt x="0" y="2339"/>
              </a:moveTo>
              <a:lnTo>
                <a:pt x="1089791" y="0"/>
              </a:lnTo>
              <a:cubicBezTo>
                <a:pt x="1093063" y="354658"/>
                <a:pt x="1091616" y="396762"/>
                <a:pt x="1087324" y="773028"/>
              </a:cubicBezTo>
              <a:lnTo>
                <a:pt x="5198" y="787608"/>
              </a:lnTo>
              <a:cubicBezTo>
                <a:pt x="5198" y="542254"/>
                <a:pt x="0" y="247693"/>
                <a:pt x="0" y="2339"/>
              </a:cubicBezTo>
              <a:close/>
            </a:path>
          </a:pathLst>
        </a:custGeom>
        <a:solidFill>
          <a:srgbClr val="000086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BFD027-5528-4704-8FC3-8D62EB28035D}" type="TxLink">
            <a:rPr lang="en-US" sz="2800" b="0" i="0" u="none" strike="noStrike">
              <a:ln w="9525">
                <a:solidFill>
                  <a:sysClr val="windowText" lastClr="000000"/>
                </a:solidFill>
              </a:ln>
              <a:solidFill>
                <a:schemeClr val="bg1"/>
              </a:solidFill>
              <a:latin typeface="Arial Black"/>
              <a:cs typeface="Calibri"/>
            </a:rPr>
            <a:pPr algn="ctr"/>
            <a:t>$11,800</a:t>
          </a:fld>
          <a:endParaRPr lang="en-US" sz="2800" b="1">
            <a:ln w="9525">
              <a:solidFill>
                <a:sysClr val="windowText" lastClr="000000"/>
              </a:solidFill>
            </a:ln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0</xdr:col>
      <xdr:colOff>349628</xdr:colOff>
      <xdr:row>1</xdr:row>
      <xdr:rowOff>0</xdr:rowOff>
    </xdr:from>
    <xdr:to>
      <xdr:col>14</xdr:col>
      <xdr:colOff>247650</xdr:colOff>
      <xdr:row>8</xdr:row>
      <xdr:rowOff>2484</xdr:rowOff>
    </xdr:to>
    <xdr:pic>
      <xdr:nvPicPr>
        <xdr:cNvPr id="33" name="Picture 32" descr="Image result for jeopardy logo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628" y="161925"/>
          <a:ext cx="8832472" cy="11359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28575</xdr:rowOff>
        </xdr:from>
        <xdr:to>
          <xdr:col>16</xdr:col>
          <xdr:colOff>504825</xdr:colOff>
          <xdr:row>4</xdr:row>
          <xdr:rowOff>76200</xdr:rowOff>
        </xdr:to>
        <xdr:sp macro="" textlink="">
          <xdr:nvSpPr>
            <xdr:cNvPr id="73747" name="ListBox1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266700</xdr:colOff>
          <xdr:row>2</xdr:row>
          <xdr:rowOff>114300</xdr:rowOff>
        </xdr:from>
        <xdr:to>
          <xdr:col>34</xdr:col>
          <xdr:colOff>266700</xdr:colOff>
          <xdr:row>5</xdr:row>
          <xdr:rowOff>19050</xdr:rowOff>
        </xdr:to>
        <xdr:sp macro="" textlink="">
          <xdr:nvSpPr>
            <xdr:cNvPr id="73748" name="but_ChangeSize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552449</xdr:colOff>
      <xdr:row>23</xdr:row>
      <xdr:rowOff>28575</xdr:rowOff>
    </xdr:from>
    <xdr:to>
      <xdr:col>14</xdr:col>
      <xdr:colOff>485774</xdr:colOff>
      <xdr:row>40</xdr:row>
      <xdr:rowOff>38100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7658099" y="3752850"/>
          <a:ext cx="1762125" cy="2762250"/>
        </a:xfrm>
        <a:prstGeom prst="rect">
          <a:avLst/>
        </a:prstGeom>
        <a:solidFill>
          <a:srgbClr val="000086"/>
        </a:solidFill>
        <a:ln w="1905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23</xdr:row>
          <xdr:rowOff>95250</xdr:rowOff>
        </xdr:from>
        <xdr:to>
          <xdr:col>14</xdr:col>
          <xdr:colOff>247650</xdr:colOff>
          <xdr:row>26</xdr:row>
          <xdr:rowOff>114300</xdr:rowOff>
        </xdr:to>
        <xdr:sp macro="" textlink="">
          <xdr:nvSpPr>
            <xdr:cNvPr id="73741" name="but_p2_1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27</xdr:row>
          <xdr:rowOff>0</xdr:rowOff>
        </xdr:from>
        <xdr:to>
          <xdr:col>14</xdr:col>
          <xdr:colOff>257175</xdr:colOff>
          <xdr:row>30</xdr:row>
          <xdr:rowOff>19050</xdr:rowOff>
        </xdr:to>
        <xdr:sp macro="" textlink="">
          <xdr:nvSpPr>
            <xdr:cNvPr id="73742" name="but_p2_2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30</xdr:row>
          <xdr:rowOff>57150</xdr:rowOff>
        </xdr:from>
        <xdr:to>
          <xdr:col>14</xdr:col>
          <xdr:colOff>247650</xdr:colOff>
          <xdr:row>33</xdr:row>
          <xdr:rowOff>85725</xdr:rowOff>
        </xdr:to>
        <xdr:sp macro="" textlink="">
          <xdr:nvSpPr>
            <xdr:cNvPr id="73743" name="but_p2_3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37</xdr:row>
          <xdr:rowOff>0</xdr:rowOff>
        </xdr:from>
        <xdr:to>
          <xdr:col>14</xdr:col>
          <xdr:colOff>247650</xdr:colOff>
          <xdr:row>40</xdr:row>
          <xdr:rowOff>19050</xdr:rowOff>
        </xdr:to>
        <xdr:sp macro="" textlink="">
          <xdr:nvSpPr>
            <xdr:cNvPr id="73745" name="but_p2_5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33</xdr:row>
          <xdr:rowOff>123825</xdr:rowOff>
        </xdr:from>
        <xdr:to>
          <xdr:col>14</xdr:col>
          <xdr:colOff>247650</xdr:colOff>
          <xdr:row>36</xdr:row>
          <xdr:rowOff>142875</xdr:rowOff>
        </xdr:to>
        <xdr:sp macro="" textlink="">
          <xdr:nvSpPr>
            <xdr:cNvPr id="73744" name="but_p2_4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114299</xdr:colOff>
      <xdr:row>23</xdr:row>
      <xdr:rowOff>9525</xdr:rowOff>
    </xdr:from>
    <xdr:to>
      <xdr:col>9</xdr:col>
      <xdr:colOff>47624</xdr:colOff>
      <xdr:row>40</xdr:row>
      <xdr:rowOff>19050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3771899" y="3733800"/>
          <a:ext cx="1762125" cy="2762250"/>
        </a:xfrm>
        <a:prstGeom prst="rect">
          <a:avLst/>
        </a:prstGeom>
        <a:solidFill>
          <a:srgbClr val="000086"/>
        </a:solidFill>
        <a:ln w="1905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23</xdr:row>
          <xdr:rowOff>57150</xdr:rowOff>
        </xdr:from>
        <xdr:to>
          <xdr:col>8</xdr:col>
          <xdr:colOff>428625</xdr:colOff>
          <xdr:row>26</xdr:row>
          <xdr:rowOff>76200</xdr:rowOff>
        </xdr:to>
        <xdr:sp macro="" textlink="">
          <xdr:nvSpPr>
            <xdr:cNvPr id="73732" name="but_p1_1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26</xdr:row>
          <xdr:rowOff>114300</xdr:rowOff>
        </xdr:from>
        <xdr:to>
          <xdr:col>8</xdr:col>
          <xdr:colOff>419100</xdr:colOff>
          <xdr:row>29</xdr:row>
          <xdr:rowOff>133350</xdr:rowOff>
        </xdr:to>
        <xdr:sp macro="" textlink="">
          <xdr:nvSpPr>
            <xdr:cNvPr id="73737" name="but_p1_2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30</xdr:row>
          <xdr:rowOff>0</xdr:rowOff>
        </xdr:from>
        <xdr:to>
          <xdr:col>8</xdr:col>
          <xdr:colOff>419100</xdr:colOff>
          <xdr:row>33</xdr:row>
          <xdr:rowOff>19050</xdr:rowOff>
        </xdr:to>
        <xdr:sp macro="" textlink="">
          <xdr:nvSpPr>
            <xdr:cNvPr id="73738" name="but_p1_3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33</xdr:row>
          <xdr:rowOff>57150</xdr:rowOff>
        </xdr:from>
        <xdr:to>
          <xdr:col>8</xdr:col>
          <xdr:colOff>419100</xdr:colOff>
          <xdr:row>36</xdr:row>
          <xdr:rowOff>76200</xdr:rowOff>
        </xdr:to>
        <xdr:sp macro="" textlink="">
          <xdr:nvSpPr>
            <xdr:cNvPr id="73739" name="but_p1_4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36</xdr:row>
          <xdr:rowOff>114300</xdr:rowOff>
        </xdr:from>
        <xdr:to>
          <xdr:col>8</xdr:col>
          <xdr:colOff>419100</xdr:colOff>
          <xdr:row>39</xdr:row>
          <xdr:rowOff>133350</xdr:rowOff>
        </xdr:to>
        <xdr:sp macro="" textlink="">
          <xdr:nvSpPr>
            <xdr:cNvPr id="73740" name="but_p1_5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485775</xdr:colOff>
          <xdr:row>1</xdr:row>
          <xdr:rowOff>28575</xdr:rowOff>
        </xdr:from>
        <xdr:to>
          <xdr:col>22</xdr:col>
          <xdr:colOff>19050</xdr:colOff>
          <xdr:row>7</xdr:row>
          <xdr:rowOff>104775</xdr:rowOff>
        </xdr:to>
        <xdr:sp macro="" textlink="">
          <xdr:nvSpPr>
            <xdr:cNvPr id="73750" name="but_StartGame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66675</xdr:colOff>
      <xdr:row>21</xdr:row>
      <xdr:rowOff>131618</xdr:rowOff>
    </xdr:from>
    <xdr:to>
      <xdr:col>27</xdr:col>
      <xdr:colOff>74700</xdr:colOff>
      <xdr:row>27</xdr:row>
      <xdr:rowOff>155863</xdr:rowOff>
    </xdr:to>
    <xdr:sp macro="" textlink="">
      <xdr:nvSpPr>
        <xdr:cNvPr id="28" name="Freeform: Shap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5182850" y="3646343"/>
          <a:ext cx="1836825" cy="995795"/>
        </a:xfrm>
        <a:custGeom>
          <a:avLst/>
          <a:gdLst>
            <a:gd name="connsiteX0" fmla="*/ 0 w 1077058"/>
            <a:gd name="connsiteY0" fmla="*/ 0 h 710712"/>
            <a:gd name="connsiteX1" fmla="*/ 1077058 w 1077058"/>
            <a:gd name="connsiteY1" fmla="*/ 0 h 710712"/>
            <a:gd name="connsiteX2" fmla="*/ 1077058 w 1077058"/>
            <a:gd name="connsiteY2" fmla="*/ 710712 h 710712"/>
            <a:gd name="connsiteX3" fmla="*/ 0 w 1077058"/>
            <a:gd name="connsiteY3" fmla="*/ 710712 h 710712"/>
            <a:gd name="connsiteX4" fmla="*/ 0 w 1077058"/>
            <a:gd name="connsiteY4" fmla="*/ 0 h 710712"/>
            <a:gd name="connsiteX0" fmla="*/ 0 w 1077058"/>
            <a:gd name="connsiteY0" fmla="*/ 0 h 710712"/>
            <a:gd name="connsiteX1" fmla="*/ 1077058 w 1077058"/>
            <a:gd name="connsiteY1" fmla="*/ 0 h 710712"/>
            <a:gd name="connsiteX2" fmla="*/ 1077058 w 1077058"/>
            <a:gd name="connsiteY2" fmla="*/ 710712 h 710712"/>
            <a:gd name="connsiteX3" fmla="*/ 21759 w 1077058"/>
            <a:gd name="connsiteY3" fmla="*/ 710712 h 710712"/>
            <a:gd name="connsiteX4" fmla="*/ 0 w 1077058"/>
            <a:gd name="connsiteY4" fmla="*/ 0 h 710712"/>
            <a:gd name="connsiteX0" fmla="*/ 0 w 1077058"/>
            <a:gd name="connsiteY0" fmla="*/ 0 h 710712"/>
            <a:gd name="connsiteX1" fmla="*/ 1077058 w 1077058"/>
            <a:gd name="connsiteY1" fmla="*/ 0 h 710712"/>
            <a:gd name="connsiteX2" fmla="*/ 1077058 w 1077058"/>
            <a:gd name="connsiteY2" fmla="*/ 710712 h 710712"/>
            <a:gd name="connsiteX3" fmla="*/ 21759 w 1077058"/>
            <a:gd name="connsiteY3" fmla="*/ 710712 h 710712"/>
            <a:gd name="connsiteX4" fmla="*/ 0 w 1077058"/>
            <a:gd name="connsiteY4" fmla="*/ 0 h 710712"/>
            <a:gd name="connsiteX0" fmla="*/ 0 w 1084290"/>
            <a:gd name="connsiteY0" fmla="*/ 0 h 722479"/>
            <a:gd name="connsiteX1" fmla="*/ 1084290 w 1084290"/>
            <a:gd name="connsiteY1" fmla="*/ 11767 h 722479"/>
            <a:gd name="connsiteX2" fmla="*/ 1084290 w 1084290"/>
            <a:gd name="connsiteY2" fmla="*/ 722479 h 722479"/>
            <a:gd name="connsiteX3" fmla="*/ 28991 w 1084290"/>
            <a:gd name="connsiteY3" fmla="*/ 722479 h 722479"/>
            <a:gd name="connsiteX4" fmla="*/ 0 w 1084290"/>
            <a:gd name="connsiteY4" fmla="*/ 0 h 722479"/>
            <a:gd name="connsiteX0" fmla="*/ 0 w 1084290"/>
            <a:gd name="connsiteY0" fmla="*/ 11767 h 734246"/>
            <a:gd name="connsiteX1" fmla="*/ 1081880 w 1084290"/>
            <a:gd name="connsiteY1" fmla="*/ 0 h 734246"/>
            <a:gd name="connsiteX2" fmla="*/ 1084290 w 1084290"/>
            <a:gd name="connsiteY2" fmla="*/ 734246 h 734246"/>
            <a:gd name="connsiteX3" fmla="*/ 28991 w 1084290"/>
            <a:gd name="connsiteY3" fmla="*/ 734246 h 734246"/>
            <a:gd name="connsiteX4" fmla="*/ 0 w 1084290"/>
            <a:gd name="connsiteY4" fmla="*/ 11767 h 734246"/>
            <a:gd name="connsiteX0" fmla="*/ 27426 w 1055299"/>
            <a:gd name="connsiteY0" fmla="*/ 110016 h 734246"/>
            <a:gd name="connsiteX1" fmla="*/ 1052889 w 1055299"/>
            <a:gd name="connsiteY1" fmla="*/ 0 h 734246"/>
            <a:gd name="connsiteX2" fmla="*/ 1055299 w 1055299"/>
            <a:gd name="connsiteY2" fmla="*/ 734246 h 734246"/>
            <a:gd name="connsiteX3" fmla="*/ 0 w 1055299"/>
            <a:gd name="connsiteY3" fmla="*/ 734246 h 734246"/>
            <a:gd name="connsiteX4" fmla="*/ 27426 w 1055299"/>
            <a:gd name="connsiteY4" fmla="*/ 110016 h 734246"/>
            <a:gd name="connsiteX0" fmla="*/ 0 w 1071468"/>
            <a:gd name="connsiteY0" fmla="*/ 28142 h 734246"/>
            <a:gd name="connsiteX1" fmla="*/ 1069058 w 1071468"/>
            <a:gd name="connsiteY1" fmla="*/ 0 h 734246"/>
            <a:gd name="connsiteX2" fmla="*/ 1071468 w 1071468"/>
            <a:gd name="connsiteY2" fmla="*/ 734246 h 734246"/>
            <a:gd name="connsiteX3" fmla="*/ 16169 w 1071468"/>
            <a:gd name="connsiteY3" fmla="*/ 734246 h 734246"/>
            <a:gd name="connsiteX4" fmla="*/ 0 w 1071468"/>
            <a:gd name="connsiteY4" fmla="*/ 28142 h 734246"/>
            <a:gd name="connsiteX0" fmla="*/ 0 w 1071468"/>
            <a:gd name="connsiteY0" fmla="*/ 28142 h 734246"/>
            <a:gd name="connsiteX1" fmla="*/ 1069058 w 1071468"/>
            <a:gd name="connsiteY1" fmla="*/ 0 h 734246"/>
            <a:gd name="connsiteX2" fmla="*/ 1071468 w 1071468"/>
            <a:gd name="connsiteY2" fmla="*/ 734246 h 734246"/>
            <a:gd name="connsiteX3" fmla="*/ 67457 w 1071468"/>
            <a:gd name="connsiteY3" fmla="*/ 652372 h 734246"/>
            <a:gd name="connsiteX4" fmla="*/ 0 w 1071468"/>
            <a:gd name="connsiteY4" fmla="*/ 28142 h 734246"/>
            <a:gd name="connsiteX0" fmla="*/ 0 w 1071468"/>
            <a:gd name="connsiteY0" fmla="*/ 28142 h 757170"/>
            <a:gd name="connsiteX1" fmla="*/ 1069058 w 1071468"/>
            <a:gd name="connsiteY1" fmla="*/ 0 h 757170"/>
            <a:gd name="connsiteX2" fmla="*/ 1071468 w 1071468"/>
            <a:gd name="connsiteY2" fmla="*/ 734246 h 757170"/>
            <a:gd name="connsiteX3" fmla="*/ 11040 w 1071468"/>
            <a:gd name="connsiteY3" fmla="*/ 757170 h 757170"/>
            <a:gd name="connsiteX4" fmla="*/ 0 w 1071468"/>
            <a:gd name="connsiteY4" fmla="*/ 28142 h 757170"/>
            <a:gd name="connsiteX0" fmla="*/ 0 w 1071468"/>
            <a:gd name="connsiteY0" fmla="*/ 28142 h 757170"/>
            <a:gd name="connsiteX1" fmla="*/ 1069058 w 1071468"/>
            <a:gd name="connsiteY1" fmla="*/ 0 h 757170"/>
            <a:gd name="connsiteX2" fmla="*/ 1071468 w 1071468"/>
            <a:gd name="connsiteY2" fmla="*/ 744070 h 757170"/>
            <a:gd name="connsiteX3" fmla="*/ 11040 w 1071468"/>
            <a:gd name="connsiteY3" fmla="*/ 757170 h 757170"/>
            <a:gd name="connsiteX4" fmla="*/ 0 w 1071468"/>
            <a:gd name="connsiteY4" fmla="*/ 28142 h 757170"/>
            <a:gd name="connsiteX0" fmla="*/ 0 w 1071468"/>
            <a:gd name="connsiteY0" fmla="*/ 190 h 729218"/>
            <a:gd name="connsiteX1" fmla="*/ 1025463 w 1071468"/>
            <a:gd name="connsiteY1" fmla="*/ 50647 h 729218"/>
            <a:gd name="connsiteX2" fmla="*/ 1071468 w 1071468"/>
            <a:gd name="connsiteY2" fmla="*/ 716118 h 729218"/>
            <a:gd name="connsiteX3" fmla="*/ 11040 w 1071468"/>
            <a:gd name="connsiteY3" fmla="*/ 729218 h 729218"/>
            <a:gd name="connsiteX4" fmla="*/ 0 w 1071468"/>
            <a:gd name="connsiteY4" fmla="*/ 190 h 729218"/>
            <a:gd name="connsiteX0" fmla="*/ 0 w 1071468"/>
            <a:gd name="connsiteY0" fmla="*/ 8492 h 737520"/>
            <a:gd name="connsiteX1" fmla="*/ 1066493 w 1071468"/>
            <a:gd name="connsiteY1" fmla="*/ 0 h 737520"/>
            <a:gd name="connsiteX2" fmla="*/ 1071468 w 1071468"/>
            <a:gd name="connsiteY2" fmla="*/ 724420 h 737520"/>
            <a:gd name="connsiteX3" fmla="*/ 11040 w 1071468"/>
            <a:gd name="connsiteY3" fmla="*/ 737520 h 737520"/>
            <a:gd name="connsiteX4" fmla="*/ 0 w 1071468"/>
            <a:gd name="connsiteY4" fmla="*/ 8492 h 737520"/>
            <a:gd name="connsiteX0" fmla="*/ 0 w 1071837"/>
            <a:gd name="connsiteY0" fmla="*/ 11767 h 740795"/>
            <a:gd name="connsiteX1" fmla="*/ 1071622 w 1071837"/>
            <a:gd name="connsiteY1" fmla="*/ 0 h 740795"/>
            <a:gd name="connsiteX2" fmla="*/ 1071468 w 1071837"/>
            <a:gd name="connsiteY2" fmla="*/ 727695 h 740795"/>
            <a:gd name="connsiteX3" fmla="*/ 11040 w 1071837"/>
            <a:gd name="connsiteY3" fmla="*/ 740795 h 740795"/>
            <a:gd name="connsiteX4" fmla="*/ 0 w 1071837"/>
            <a:gd name="connsiteY4" fmla="*/ 11767 h 740795"/>
            <a:gd name="connsiteX0" fmla="*/ 0 w 1071468"/>
            <a:gd name="connsiteY0" fmla="*/ 0 h 729028"/>
            <a:gd name="connsiteX1" fmla="*/ 1038836 w 1071468"/>
            <a:gd name="connsiteY1" fmla="*/ 17526 h 729028"/>
            <a:gd name="connsiteX2" fmla="*/ 1071468 w 1071468"/>
            <a:gd name="connsiteY2" fmla="*/ 715928 h 729028"/>
            <a:gd name="connsiteX3" fmla="*/ 11040 w 1071468"/>
            <a:gd name="connsiteY3" fmla="*/ 729028 h 729028"/>
            <a:gd name="connsiteX4" fmla="*/ 0 w 1071468"/>
            <a:gd name="connsiteY4" fmla="*/ 0 h 729028"/>
            <a:gd name="connsiteX0" fmla="*/ 0 w 1071468"/>
            <a:gd name="connsiteY0" fmla="*/ 11767 h 740795"/>
            <a:gd name="connsiteX1" fmla="*/ 1059012 w 1071468"/>
            <a:gd name="connsiteY1" fmla="*/ 0 h 740795"/>
            <a:gd name="connsiteX2" fmla="*/ 1071468 w 1071468"/>
            <a:gd name="connsiteY2" fmla="*/ 727695 h 740795"/>
            <a:gd name="connsiteX3" fmla="*/ 11040 w 1071468"/>
            <a:gd name="connsiteY3" fmla="*/ 740795 h 740795"/>
            <a:gd name="connsiteX4" fmla="*/ 0 w 1071468"/>
            <a:gd name="connsiteY4" fmla="*/ 11767 h 74079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071468" h="740795">
              <a:moveTo>
                <a:pt x="0" y="11767"/>
              </a:moveTo>
              <a:lnTo>
                <a:pt x="1059012" y="0"/>
              </a:lnTo>
              <a:cubicBezTo>
                <a:pt x="1059815" y="244749"/>
                <a:pt x="1070665" y="482946"/>
                <a:pt x="1071468" y="727695"/>
              </a:cubicBezTo>
              <a:lnTo>
                <a:pt x="11040" y="740795"/>
              </a:lnTo>
              <a:lnTo>
                <a:pt x="0" y="11767"/>
              </a:lnTo>
              <a:close/>
            </a:path>
          </a:pathLst>
        </a:custGeom>
        <a:solidFill>
          <a:srgbClr val="000086"/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Comic Sans MS" panose="030F0702030302020204" pitchFamily="66" charset="0"/>
            </a:rPr>
            <a:t>WHAT</a:t>
          </a:r>
          <a:r>
            <a:rPr lang="en-US" sz="1200" baseline="0">
              <a:latin typeface="Comic Sans MS" panose="030F0702030302020204" pitchFamily="66" charset="0"/>
            </a:rPr>
            <a:t> IS GERMANY?</a:t>
          </a:r>
          <a:endParaRPr lang="en-US" sz="1200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23</xdr:col>
      <xdr:colOff>241890</xdr:colOff>
      <xdr:row>1</xdr:row>
      <xdr:rowOff>46264</xdr:rowOff>
    </xdr:from>
    <xdr:to>
      <xdr:col>28</xdr:col>
      <xdr:colOff>155122</xdr:colOff>
      <xdr:row>19</xdr:row>
      <xdr:rowOff>70724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0390" y="209550"/>
          <a:ext cx="2974839" cy="3072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24492</xdr:colOff>
      <xdr:row>0</xdr:row>
      <xdr:rowOff>0</xdr:rowOff>
    </xdr:from>
    <xdr:to>
      <xdr:col>29</xdr:col>
      <xdr:colOff>135221</xdr:colOff>
      <xdr:row>46</xdr:row>
      <xdr:rowOff>136071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EF55B4E-C4E3-4A76-8CA6-67538BB7D6B7}"/>
            </a:ext>
          </a:extLst>
        </xdr:cNvPr>
        <xdr:cNvSpPr/>
      </xdr:nvSpPr>
      <xdr:spPr>
        <a:xfrm>
          <a:off x="24492" y="0"/>
          <a:ext cx="18562015" cy="7756071"/>
        </a:xfrm>
        <a:prstGeom prst="rect">
          <a:avLst/>
        </a:prstGeom>
        <a:noFill/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30</xdr:row>
          <xdr:rowOff>57150</xdr:rowOff>
        </xdr:from>
        <xdr:to>
          <xdr:col>27</xdr:col>
          <xdr:colOff>571500</xdr:colOff>
          <xdr:row>36</xdr:row>
          <xdr:rowOff>133350</xdr:rowOff>
        </xdr:to>
        <xdr:sp macro="" textlink="">
          <xdr:nvSpPr>
            <xdr:cNvPr id="73751" name="but_SaveGame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8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5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23" Type="http://schemas.openxmlformats.org/officeDocument/2006/relationships/ctrlProp" Target="../ctrlProps/ctrlProp10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Relationship Id="rId22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5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image" Target="../media/image18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24" Type="http://schemas.openxmlformats.org/officeDocument/2006/relationships/control" Target="../activeX/activeX16.xml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28" Type="http://schemas.openxmlformats.org/officeDocument/2006/relationships/control" Target="../activeX/activeX18.xml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31" Type="http://schemas.openxmlformats.org/officeDocument/2006/relationships/image" Target="../media/image19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7.emf"/><Relationship Id="rId30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9"/>
  <sheetViews>
    <sheetView zoomScale="90" zoomScaleNormal="90" workbookViewId="0">
      <selection activeCell="F3" sqref="F3:F5"/>
    </sheetView>
  </sheetViews>
  <sheetFormatPr defaultRowHeight="15" x14ac:dyDescent="0.25"/>
  <cols>
    <col min="1" max="1" width="17.7109375" bestFit="1" customWidth="1"/>
    <col min="2" max="4" width="20.28515625" customWidth="1"/>
    <col min="7" max="7" width="15.28515625" customWidth="1"/>
    <col min="9" max="10" width="20.28515625" customWidth="1"/>
    <col min="11" max="11" width="23.140625" customWidth="1"/>
  </cols>
  <sheetData>
    <row r="1" spans="1:11" x14ac:dyDescent="0.25">
      <c r="A1" t="s">
        <v>8</v>
      </c>
    </row>
    <row r="3" spans="1:11" s="4" customFormat="1" ht="21" customHeight="1" x14ac:dyDescent="0.25">
      <c r="A3" s="3" t="s">
        <v>9</v>
      </c>
      <c r="B3" s="14" t="s">
        <v>0</v>
      </c>
      <c r="C3" s="14" t="s">
        <v>1</v>
      </c>
      <c r="D3" s="14" t="s">
        <v>7</v>
      </c>
      <c r="I3" s="14" t="s">
        <v>0</v>
      </c>
      <c r="J3" s="14" t="s">
        <v>1</v>
      </c>
    </row>
    <row r="4" spans="1:11" s="4" customFormat="1" ht="21" customHeight="1" x14ac:dyDescent="0.25">
      <c r="A4" s="3" t="s">
        <v>10</v>
      </c>
      <c r="B4" s="15" t="e">
        <f>SUM(B10:B96)</f>
        <v>#REF!</v>
      </c>
      <c r="C4" s="15" t="e">
        <f>SUM(C10:C96)</f>
        <v>#REF!</v>
      </c>
      <c r="D4" s="15" t="e">
        <f>ABS(B4-C4)</f>
        <v>#REF!</v>
      </c>
      <c r="I4" s="15" t="e">
        <f>B4</f>
        <v>#REF!</v>
      </c>
      <c r="J4" s="15" t="e">
        <f>C4</f>
        <v>#REF!</v>
      </c>
    </row>
    <row r="5" spans="1:11" s="4" customFormat="1" ht="21" customHeight="1" x14ac:dyDescent="0.25">
      <c r="A5" s="3" t="s">
        <v>11</v>
      </c>
      <c r="B5" s="14">
        <f ca="1">COUNTIF(D10:D96,"JAMIE")</f>
        <v>0</v>
      </c>
      <c r="C5" s="14">
        <f ca="1">COUNTIF(D10:D96,"MATT")</f>
        <v>0</v>
      </c>
      <c r="D5" s="14">
        <f ca="1">ABS(B5-C5)</f>
        <v>0</v>
      </c>
      <c r="I5" s="15"/>
      <c r="J5" s="15"/>
    </row>
    <row r="6" spans="1:11" s="4" customFormat="1" ht="21" customHeight="1" x14ac:dyDescent="0.25">
      <c r="A6" s="3" t="s">
        <v>12</v>
      </c>
      <c r="B6" s="14" t="e">
        <f ca="1">SUM(E10:E96)</f>
        <v>#REF!</v>
      </c>
      <c r="C6" s="14" t="e">
        <f ca="1">SUM(F10:F96)</f>
        <v>#REF!</v>
      </c>
      <c r="D6" s="14" t="e">
        <f ca="1">ABS(B6-C6)</f>
        <v>#REF!</v>
      </c>
      <c r="I6" s="15"/>
      <c r="J6" s="15"/>
    </row>
    <row r="7" spans="1:11" s="4" customFormat="1" ht="21" customHeight="1" x14ac:dyDescent="0.25">
      <c r="A7" s="3" t="s">
        <v>14</v>
      </c>
      <c r="B7" s="16" t="e">
        <f ca="1">B4/B6</f>
        <v>#REF!</v>
      </c>
      <c r="C7" s="16" t="e">
        <f ca="1">C4/C6</f>
        <v>#REF!</v>
      </c>
      <c r="D7" s="15" t="e">
        <f ca="1">ABS(B7-C7)</f>
        <v>#REF!</v>
      </c>
      <c r="I7" s="15"/>
      <c r="J7" s="15"/>
    </row>
    <row r="8" spans="1:11" x14ac:dyDescent="0.25">
      <c r="B8" s="17"/>
      <c r="C8" s="17"/>
      <c r="D8" s="18"/>
      <c r="E8" t="s">
        <v>16</v>
      </c>
      <c r="F8" s="1" t="s">
        <v>17</v>
      </c>
      <c r="G8" t="s">
        <v>18</v>
      </c>
      <c r="I8" s="13"/>
      <c r="J8" s="13"/>
    </row>
    <row r="9" spans="1:11" x14ac:dyDescent="0.25">
      <c r="A9" s="12" t="s">
        <v>13</v>
      </c>
      <c r="B9" s="12" t="s">
        <v>10</v>
      </c>
      <c r="C9" s="12" t="s">
        <v>10</v>
      </c>
      <c r="D9" s="12" t="s">
        <v>15</v>
      </c>
      <c r="E9" s="12" t="s">
        <v>12</v>
      </c>
      <c r="F9" s="12" t="s">
        <v>12</v>
      </c>
      <c r="I9" s="12"/>
      <c r="J9" s="12"/>
    </row>
    <row r="10" spans="1:11" x14ac:dyDescent="0.25">
      <c r="A10" s="12" t="s">
        <v>27</v>
      </c>
      <c r="B10" s="11" t="e">
        <f>#REF!</f>
        <v>#REF!</v>
      </c>
      <c r="C10" s="11" t="e">
        <f>#REF!</f>
        <v>#REF!</v>
      </c>
      <c r="D10" s="11" t="e">
        <f t="shared" ref="D10:D58" si="0">IF(B10&gt;C10,"JAMIE","MATT")</f>
        <v>#REF!</v>
      </c>
      <c r="E10">
        <v>6</v>
      </c>
      <c r="F10">
        <v>5</v>
      </c>
      <c r="G10" s="1" t="e">
        <f t="shared" ref="G10:G58" si="1">ABS(B10-C10)</f>
        <v>#REF!</v>
      </c>
      <c r="I10" s="11" t="e">
        <f t="shared" ref="I10:I58" si="2">I9+B10</f>
        <v>#REF!</v>
      </c>
      <c r="J10" s="11" t="e">
        <f t="shared" ref="J10:J58" si="3">J9+C10</f>
        <v>#REF!</v>
      </c>
      <c r="K10" s="1" t="e">
        <f t="shared" ref="K10:K58" si="4">ABS(J10-I10)</f>
        <v>#REF!</v>
      </c>
    </row>
    <row r="11" spans="1:11" x14ac:dyDescent="0.25">
      <c r="A11" s="12" t="s">
        <v>28</v>
      </c>
      <c r="B11" s="11" t="e">
        <f>#REF!</f>
        <v>#REF!</v>
      </c>
      <c r="C11" s="11" t="e">
        <f>#REF!</f>
        <v>#REF!</v>
      </c>
      <c r="D11" s="11" t="e">
        <f t="shared" si="0"/>
        <v>#REF!</v>
      </c>
      <c r="E11">
        <v>6</v>
      </c>
      <c r="F11">
        <v>9</v>
      </c>
      <c r="G11" s="1" t="e">
        <f t="shared" si="1"/>
        <v>#REF!</v>
      </c>
      <c r="I11" s="11" t="e">
        <f t="shared" si="2"/>
        <v>#REF!</v>
      </c>
      <c r="J11" s="11" t="e">
        <f t="shared" si="3"/>
        <v>#REF!</v>
      </c>
      <c r="K11" s="1" t="e">
        <f t="shared" si="4"/>
        <v>#REF!</v>
      </c>
    </row>
    <row r="12" spans="1:11" x14ac:dyDescent="0.25">
      <c r="A12" s="12" t="s">
        <v>29</v>
      </c>
      <c r="B12" s="11" t="e">
        <f t="shared" ref="B12:B58" ca="1" si="5">INDIRECT(A12&amp;"!D2",TRUE)</f>
        <v>#REF!</v>
      </c>
      <c r="C12" s="11" t="e">
        <f t="shared" ref="C12:C58" ca="1" si="6">INDIRECT(A12&amp;"!E2",TRUE)</f>
        <v>#REF!</v>
      </c>
      <c r="D12" s="11" t="e">
        <f t="shared" ca="1" si="0"/>
        <v>#REF!</v>
      </c>
      <c r="E12" t="e">
        <f t="shared" ref="E12:E58" ca="1" si="7">INDIRECT(A12&amp;"!B1",TRUE)</f>
        <v>#REF!</v>
      </c>
      <c r="F12" t="e">
        <f t="shared" ref="F12:F58" ca="1" si="8">INDIRECT(A12&amp;"!C1",TRUE)</f>
        <v>#REF!</v>
      </c>
      <c r="G12" s="1" t="e">
        <f t="shared" ca="1" si="1"/>
        <v>#REF!</v>
      </c>
      <c r="I12" s="11" t="e">
        <f t="shared" ca="1" si="2"/>
        <v>#REF!</v>
      </c>
      <c r="J12" s="11" t="e">
        <f t="shared" ca="1" si="3"/>
        <v>#REF!</v>
      </c>
      <c r="K12" s="1" t="e">
        <f t="shared" ca="1" si="4"/>
        <v>#REF!</v>
      </c>
    </row>
    <row r="13" spans="1:11" x14ac:dyDescent="0.25">
      <c r="A13" s="12" t="s">
        <v>30</v>
      </c>
      <c r="B13" s="11" t="e">
        <f t="shared" ca="1" si="5"/>
        <v>#REF!</v>
      </c>
      <c r="C13" s="11" t="e">
        <f t="shared" ca="1" si="6"/>
        <v>#REF!</v>
      </c>
      <c r="D13" s="11" t="e">
        <f t="shared" ca="1" si="0"/>
        <v>#REF!</v>
      </c>
      <c r="E13" t="e">
        <f t="shared" ca="1" si="7"/>
        <v>#REF!</v>
      </c>
      <c r="F13" t="e">
        <f t="shared" ca="1" si="8"/>
        <v>#REF!</v>
      </c>
      <c r="G13" s="1" t="e">
        <f t="shared" ca="1" si="1"/>
        <v>#REF!</v>
      </c>
      <c r="I13" s="11" t="e">
        <f t="shared" ca="1" si="2"/>
        <v>#REF!</v>
      </c>
      <c r="J13" s="11" t="e">
        <f t="shared" ca="1" si="3"/>
        <v>#REF!</v>
      </c>
      <c r="K13" s="1" t="e">
        <f t="shared" ca="1" si="4"/>
        <v>#REF!</v>
      </c>
    </row>
    <row r="14" spans="1:11" x14ac:dyDescent="0.25">
      <c r="A14" s="12" t="s">
        <v>31</v>
      </c>
      <c r="B14" s="11" t="e">
        <f t="shared" ca="1" si="5"/>
        <v>#REF!</v>
      </c>
      <c r="C14" s="11" t="e">
        <f t="shared" ca="1" si="6"/>
        <v>#REF!</v>
      </c>
      <c r="D14" s="11" t="e">
        <f t="shared" ca="1" si="0"/>
        <v>#REF!</v>
      </c>
      <c r="E14" t="e">
        <f t="shared" ca="1" si="7"/>
        <v>#REF!</v>
      </c>
      <c r="F14" t="e">
        <f t="shared" ca="1" si="8"/>
        <v>#REF!</v>
      </c>
      <c r="G14" s="1" t="e">
        <f t="shared" ca="1" si="1"/>
        <v>#REF!</v>
      </c>
      <c r="I14" s="11" t="e">
        <f t="shared" ca="1" si="2"/>
        <v>#REF!</v>
      </c>
      <c r="J14" s="11" t="e">
        <f t="shared" ca="1" si="3"/>
        <v>#REF!</v>
      </c>
      <c r="K14" s="1" t="e">
        <f t="shared" ca="1" si="4"/>
        <v>#REF!</v>
      </c>
    </row>
    <row r="15" spans="1:11" x14ac:dyDescent="0.25">
      <c r="A15" s="12" t="s">
        <v>32</v>
      </c>
      <c r="B15" s="11" t="e">
        <f t="shared" ca="1" si="5"/>
        <v>#REF!</v>
      </c>
      <c r="C15" s="11" t="e">
        <f t="shared" ca="1" si="6"/>
        <v>#REF!</v>
      </c>
      <c r="D15" s="11" t="e">
        <f t="shared" ca="1" si="0"/>
        <v>#REF!</v>
      </c>
      <c r="E15" t="e">
        <f t="shared" ca="1" si="7"/>
        <v>#REF!</v>
      </c>
      <c r="F15" t="e">
        <f t="shared" ca="1" si="8"/>
        <v>#REF!</v>
      </c>
      <c r="G15" s="1" t="e">
        <f t="shared" ca="1" si="1"/>
        <v>#REF!</v>
      </c>
      <c r="I15" s="11" t="e">
        <f t="shared" ca="1" si="2"/>
        <v>#REF!</v>
      </c>
      <c r="J15" s="11" t="e">
        <f t="shared" ca="1" si="3"/>
        <v>#REF!</v>
      </c>
      <c r="K15" s="1" t="e">
        <f t="shared" ca="1" si="4"/>
        <v>#REF!</v>
      </c>
    </row>
    <row r="16" spans="1:11" x14ac:dyDescent="0.25">
      <c r="A16" s="12" t="s">
        <v>33</v>
      </c>
      <c r="B16" s="11" t="e">
        <f t="shared" ca="1" si="5"/>
        <v>#REF!</v>
      </c>
      <c r="C16" s="11" t="e">
        <f t="shared" ca="1" si="6"/>
        <v>#REF!</v>
      </c>
      <c r="D16" s="11" t="e">
        <f t="shared" ca="1" si="0"/>
        <v>#REF!</v>
      </c>
      <c r="E16" t="e">
        <f t="shared" ca="1" si="7"/>
        <v>#REF!</v>
      </c>
      <c r="F16" t="e">
        <f t="shared" ca="1" si="8"/>
        <v>#REF!</v>
      </c>
      <c r="G16" s="1" t="e">
        <f t="shared" ca="1" si="1"/>
        <v>#REF!</v>
      </c>
      <c r="I16" s="11" t="e">
        <f t="shared" ca="1" si="2"/>
        <v>#REF!</v>
      </c>
      <c r="J16" s="11" t="e">
        <f t="shared" ca="1" si="3"/>
        <v>#REF!</v>
      </c>
      <c r="K16" s="1" t="e">
        <f t="shared" ca="1" si="4"/>
        <v>#REF!</v>
      </c>
    </row>
    <row r="17" spans="1:11" x14ac:dyDescent="0.25">
      <c r="A17" s="12" t="s">
        <v>34</v>
      </c>
      <c r="B17" s="11" t="e">
        <f t="shared" ca="1" si="5"/>
        <v>#REF!</v>
      </c>
      <c r="C17" s="11" t="e">
        <f t="shared" ca="1" si="6"/>
        <v>#REF!</v>
      </c>
      <c r="D17" s="11" t="e">
        <f t="shared" ca="1" si="0"/>
        <v>#REF!</v>
      </c>
      <c r="E17" t="e">
        <f t="shared" ca="1" si="7"/>
        <v>#REF!</v>
      </c>
      <c r="F17" t="e">
        <f t="shared" ca="1" si="8"/>
        <v>#REF!</v>
      </c>
      <c r="G17" s="1" t="e">
        <f t="shared" ca="1" si="1"/>
        <v>#REF!</v>
      </c>
      <c r="I17" s="11" t="e">
        <f t="shared" ca="1" si="2"/>
        <v>#REF!</v>
      </c>
      <c r="J17" s="11" t="e">
        <f t="shared" ca="1" si="3"/>
        <v>#REF!</v>
      </c>
      <c r="K17" s="1" t="e">
        <f t="shared" ca="1" si="4"/>
        <v>#REF!</v>
      </c>
    </row>
    <row r="18" spans="1:11" x14ac:dyDescent="0.25">
      <c r="A18" s="12" t="s">
        <v>35</v>
      </c>
      <c r="B18" s="11" t="e">
        <f t="shared" ca="1" si="5"/>
        <v>#REF!</v>
      </c>
      <c r="C18" s="11" t="e">
        <f t="shared" ca="1" si="6"/>
        <v>#REF!</v>
      </c>
      <c r="D18" s="11" t="e">
        <f t="shared" ca="1" si="0"/>
        <v>#REF!</v>
      </c>
      <c r="E18" t="e">
        <f t="shared" ca="1" si="7"/>
        <v>#REF!</v>
      </c>
      <c r="F18" t="e">
        <f t="shared" ca="1" si="8"/>
        <v>#REF!</v>
      </c>
      <c r="G18" s="1" t="e">
        <f t="shared" ca="1" si="1"/>
        <v>#REF!</v>
      </c>
      <c r="I18" s="11" t="e">
        <f t="shared" ca="1" si="2"/>
        <v>#REF!</v>
      </c>
      <c r="J18" s="11" t="e">
        <f t="shared" ca="1" si="3"/>
        <v>#REF!</v>
      </c>
      <c r="K18" s="1" t="e">
        <f t="shared" ca="1" si="4"/>
        <v>#REF!</v>
      </c>
    </row>
    <row r="19" spans="1:11" x14ac:dyDescent="0.25">
      <c r="A19" s="12" t="s">
        <v>36</v>
      </c>
      <c r="B19" s="11" t="e">
        <f t="shared" ca="1" si="5"/>
        <v>#REF!</v>
      </c>
      <c r="C19" s="11" t="e">
        <f t="shared" ca="1" si="6"/>
        <v>#REF!</v>
      </c>
      <c r="D19" s="11" t="e">
        <f t="shared" ca="1" si="0"/>
        <v>#REF!</v>
      </c>
      <c r="E19" t="e">
        <f t="shared" ca="1" si="7"/>
        <v>#REF!</v>
      </c>
      <c r="F19" t="e">
        <f t="shared" ca="1" si="8"/>
        <v>#REF!</v>
      </c>
      <c r="G19" s="1" t="e">
        <f t="shared" ca="1" si="1"/>
        <v>#REF!</v>
      </c>
      <c r="I19" s="11" t="e">
        <f t="shared" ca="1" si="2"/>
        <v>#REF!</v>
      </c>
      <c r="J19" s="11" t="e">
        <f t="shared" ca="1" si="3"/>
        <v>#REF!</v>
      </c>
      <c r="K19" s="1" t="e">
        <f t="shared" ca="1" si="4"/>
        <v>#REF!</v>
      </c>
    </row>
    <row r="20" spans="1:11" x14ac:dyDescent="0.25">
      <c r="A20" s="12" t="s">
        <v>37</v>
      </c>
      <c r="B20" s="11" t="e">
        <f t="shared" ca="1" si="5"/>
        <v>#REF!</v>
      </c>
      <c r="C20" s="11" t="e">
        <f t="shared" ca="1" si="6"/>
        <v>#REF!</v>
      </c>
      <c r="D20" s="11" t="e">
        <f t="shared" ca="1" si="0"/>
        <v>#REF!</v>
      </c>
      <c r="E20" t="e">
        <f t="shared" ca="1" si="7"/>
        <v>#REF!</v>
      </c>
      <c r="F20" t="e">
        <f t="shared" ca="1" si="8"/>
        <v>#REF!</v>
      </c>
      <c r="G20" s="1" t="e">
        <f t="shared" ca="1" si="1"/>
        <v>#REF!</v>
      </c>
      <c r="I20" s="11" t="e">
        <f t="shared" ca="1" si="2"/>
        <v>#REF!</v>
      </c>
      <c r="J20" s="11" t="e">
        <f t="shared" ca="1" si="3"/>
        <v>#REF!</v>
      </c>
      <c r="K20" s="1" t="e">
        <f t="shared" ca="1" si="4"/>
        <v>#REF!</v>
      </c>
    </row>
    <row r="21" spans="1:11" x14ac:dyDescent="0.25">
      <c r="A21" s="12" t="s">
        <v>38</v>
      </c>
      <c r="B21" s="11" t="e">
        <f t="shared" ca="1" si="5"/>
        <v>#REF!</v>
      </c>
      <c r="C21" s="11" t="e">
        <f t="shared" ca="1" si="6"/>
        <v>#REF!</v>
      </c>
      <c r="D21" s="11" t="e">
        <f t="shared" ca="1" si="0"/>
        <v>#REF!</v>
      </c>
      <c r="E21" t="e">
        <f t="shared" ca="1" si="7"/>
        <v>#REF!</v>
      </c>
      <c r="F21" t="e">
        <f t="shared" ca="1" si="8"/>
        <v>#REF!</v>
      </c>
      <c r="G21" s="1" t="e">
        <f t="shared" ca="1" si="1"/>
        <v>#REF!</v>
      </c>
      <c r="I21" s="11" t="e">
        <f t="shared" ca="1" si="2"/>
        <v>#REF!</v>
      </c>
      <c r="J21" s="11" t="e">
        <f t="shared" ca="1" si="3"/>
        <v>#REF!</v>
      </c>
      <c r="K21" s="1" t="e">
        <f t="shared" ca="1" si="4"/>
        <v>#REF!</v>
      </c>
    </row>
    <row r="22" spans="1:11" x14ac:dyDescent="0.25">
      <c r="A22" s="12" t="s">
        <v>39</v>
      </c>
      <c r="B22" s="11" t="e">
        <f t="shared" ca="1" si="5"/>
        <v>#REF!</v>
      </c>
      <c r="C22" s="11" t="e">
        <f t="shared" ca="1" si="6"/>
        <v>#REF!</v>
      </c>
      <c r="D22" s="11" t="e">
        <f t="shared" ca="1" si="0"/>
        <v>#REF!</v>
      </c>
      <c r="E22" t="e">
        <f t="shared" ca="1" si="7"/>
        <v>#REF!</v>
      </c>
      <c r="F22" t="e">
        <f t="shared" ca="1" si="8"/>
        <v>#REF!</v>
      </c>
      <c r="G22" s="1" t="e">
        <f t="shared" ca="1" si="1"/>
        <v>#REF!</v>
      </c>
      <c r="I22" s="11" t="e">
        <f t="shared" ca="1" si="2"/>
        <v>#REF!</v>
      </c>
      <c r="J22" s="11" t="e">
        <f t="shared" ca="1" si="3"/>
        <v>#REF!</v>
      </c>
      <c r="K22" s="1" t="e">
        <f t="shared" ca="1" si="4"/>
        <v>#REF!</v>
      </c>
    </row>
    <row r="23" spans="1:11" x14ac:dyDescent="0.25">
      <c r="A23" s="12" t="s">
        <v>40</v>
      </c>
      <c r="B23" s="11" t="e">
        <f t="shared" ca="1" si="5"/>
        <v>#REF!</v>
      </c>
      <c r="C23" s="11" t="e">
        <f t="shared" ca="1" si="6"/>
        <v>#REF!</v>
      </c>
      <c r="D23" s="11" t="e">
        <f t="shared" ca="1" si="0"/>
        <v>#REF!</v>
      </c>
      <c r="E23" t="e">
        <f t="shared" ca="1" si="7"/>
        <v>#REF!</v>
      </c>
      <c r="F23" t="e">
        <f t="shared" ca="1" si="8"/>
        <v>#REF!</v>
      </c>
      <c r="G23" s="1" t="e">
        <f t="shared" ca="1" si="1"/>
        <v>#REF!</v>
      </c>
      <c r="I23" s="11" t="e">
        <f t="shared" ca="1" si="2"/>
        <v>#REF!</v>
      </c>
      <c r="J23" s="11" t="e">
        <f t="shared" ca="1" si="3"/>
        <v>#REF!</v>
      </c>
      <c r="K23" s="1" t="e">
        <f t="shared" ca="1" si="4"/>
        <v>#REF!</v>
      </c>
    </row>
    <row r="24" spans="1:11" x14ac:dyDescent="0.25">
      <c r="A24" s="12" t="s">
        <v>41</v>
      </c>
      <c r="B24" s="11" t="e">
        <f t="shared" ca="1" si="5"/>
        <v>#REF!</v>
      </c>
      <c r="C24" s="11" t="e">
        <f t="shared" ca="1" si="6"/>
        <v>#REF!</v>
      </c>
      <c r="D24" s="11" t="e">
        <f t="shared" ca="1" si="0"/>
        <v>#REF!</v>
      </c>
      <c r="E24" t="e">
        <f t="shared" ca="1" si="7"/>
        <v>#REF!</v>
      </c>
      <c r="F24" t="e">
        <f t="shared" ca="1" si="8"/>
        <v>#REF!</v>
      </c>
      <c r="G24" s="1" t="e">
        <f t="shared" ca="1" si="1"/>
        <v>#REF!</v>
      </c>
      <c r="I24" s="11" t="e">
        <f t="shared" ca="1" si="2"/>
        <v>#REF!</v>
      </c>
      <c r="J24" s="11" t="e">
        <f t="shared" ca="1" si="3"/>
        <v>#REF!</v>
      </c>
      <c r="K24" s="1" t="e">
        <f t="shared" ca="1" si="4"/>
        <v>#REF!</v>
      </c>
    </row>
    <row r="25" spans="1:11" x14ac:dyDescent="0.25">
      <c r="A25" s="12" t="s">
        <v>42</v>
      </c>
      <c r="B25" s="11" t="e">
        <f t="shared" ca="1" si="5"/>
        <v>#REF!</v>
      </c>
      <c r="C25" s="11" t="e">
        <f t="shared" ca="1" si="6"/>
        <v>#REF!</v>
      </c>
      <c r="D25" s="11" t="e">
        <f t="shared" ca="1" si="0"/>
        <v>#REF!</v>
      </c>
      <c r="E25" t="e">
        <f t="shared" ca="1" si="7"/>
        <v>#REF!</v>
      </c>
      <c r="F25" t="e">
        <f t="shared" ca="1" si="8"/>
        <v>#REF!</v>
      </c>
      <c r="G25" s="1" t="e">
        <f t="shared" ca="1" si="1"/>
        <v>#REF!</v>
      </c>
      <c r="I25" s="11" t="e">
        <f t="shared" ca="1" si="2"/>
        <v>#REF!</v>
      </c>
      <c r="J25" s="11" t="e">
        <f t="shared" ca="1" si="3"/>
        <v>#REF!</v>
      </c>
      <c r="K25" s="1" t="e">
        <f t="shared" ca="1" si="4"/>
        <v>#REF!</v>
      </c>
    </row>
    <row r="26" spans="1:11" x14ac:dyDescent="0.25">
      <c r="A26" s="12" t="s">
        <v>43</v>
      </c>
      <c r="B26" s="11" t="e">
        <f t="shared" ca="1" si="5"/>
        <v>#REF!</v>
      </c>
      <c r="C26" s="11" t="e">
        <f t="shared" ca="1" si="6"/>
        <v>#REF!</v>
      </c>
      <c r="D26" s="11" t="e">
        <f t="shared" ca="1" si="0"/>
        <v>#REF!</v>
      </c>
      <c r="E26" t="e">
        <f t="shared" ca="1" si="7"/>
        <v>#REF!</v>
      </c>
      <c r="F26" t="e">
        <f t="shared" ca="1" si="8"/>
        <v>#REF!</v>
      </c>
      <c r="G26" s="1" t="e">
        <f t="shared" ca="1" si="1"/>
        <v>#REF!</v>
      </c>
      <c r="I26" s="11" t="e">
        <f t="shared" ca="1" si="2"/>
        <v>#REF!</v>
      </c>
      <c r="J26" s="11" t="e">
        <f t="shared" ca="1" si="3"/>
        <v>#REF!</v>
      </c>
      <c r="K26" s="1" t="e">
        <f t="shared" ca="1" si="4"/>
        <v>#REF!</v>
      </c>
    </row>
    <row r="27" spans="1:11" x14ac:dyDescent="0.25">
      <c r="A27" s="12" t="s">
        <v>44</v>
      </c>
      <c r="B27" s="11" t="e">
        <f t="shared" ca="1" si="5"/>
        <v>#REF!</v>
      </c>
      <c r="C27" s="11" t="e">
        <f t="shared" ca="1" si="6"/>
        <v>#REF!</v>
      </c>
      <c r="D27" s="11" t="e">
        <f t="shared" ca="1" si="0"/>
        <v>#REF!</v>
      </c>
      <c r="E27" t="e">
        <f t="shared" ca="1" si="7"/>
        <v>#REF!</v>
      </c>
      <c r="F27" t="e">
        <f t="shared" ca="1" si="8"/>
        <v>#REF!</v>
      </c>
      <c r="G27" s="1" t="e">
        <f t="shared" ca="1" si="1"/>
        <v>#REF!</v>
      </c>
      <c r="I27" s="11" t="e">
        <f t="shared" ca="1" si="2"/>
        <v>#REF!</v>
      </c>
      <c r="J27" s="11" t="e">
        <f t="shared" ca="1" si="3"/>
        <v>#REF!</v>
      </c>
      <c r="K27" s="1" t="e">
        <f t="shared" ca="1" si="4"/>
        <v>#REF!</v>
      </c>
    </row>
    <row r="28" spans="1:11" x14ac:dyDescent="0.25">
      <c r="A28" s="12" t="s">
        <v>45</v>
      </c>
      <c r="B28" s="11" t="e">
        <f t="shared" ca="1" si="5"/>
        <v>#REF!</v>
      </c>
      <c r="C28" s="11" t="e">
        <f t="shared" ca="1" si="6"/>
        <v>#REF!</v>
      </c>
      <c r="D28" s="11" t="e">
        <f t="shared" ca="1" si="0"/>
        <v>#REF!</v>
      </c>
      <c r="E28" t="e">
        <f t="shared" ca="1" si="7"/>
        <v>#REF!</v>
      </c>
      <c r="F28" t="e">
        <f t="shared" ca="1" si="8"/>
        <v>#REF!</v>
      </c>
      <c r="G28" s="1" t="e">
        <f t="shared" ca="1" si="1"/>
        <v>#REF!</v>
      </c>
      <c r="I28" s="11" t="e">
        <f t="shared" ca="1" si="2"/>
        <v>#REF!</v>
      </c>
      <c r="J28" s="11" t="e">
        <f t="shared" ca="1" si="3"/>
        <v>#REF!</v>
      </c>
      <c r="K28" s="1" t="e">
        <f t="shared" ca="1" si="4"/>
        <v>#REF!</v>
      </c>
    </row>
    <row r="29" spans="1:11" x14ac:dyDescent="0.25">
      <c r="A29" s="12" t="s">
        <v>46</v>
      </c>
      <c r="B29" s="11" t="e">
        <f t="shared" ca="1" si="5"/>
        <v>#REF!</v>
      </c>
      <c r="C29" s="11" t="e">
        <f t="shared" ca="1" si="6"/>
        <v>#REF!</v>
      </c>
      <c r="D29" s="11" t="e">
        <f t="shared" ca="1" si="0"/>
        <v>#REF!</v>
      </c>
      <c r="E29" t="e">
        <f t="shared" ca="1" si="7"/>
        <v>#REF!</v>
      </c>
      <c r="F29" t="e">
        <f t="shared" ca="1" si="8"/>
        <v>#REF!</v>
      </c>
      <c r="G29" s="1" t="e">
        <f t="shared" ca="1" si="1"/>
        <v>#REF!</v>
      </c>
      <c r="I29" s="11" t="e">
        <f t="shared" ca="1" si="2"/>
        <v>#REF!</v>
      </c>
      <c r="J29" s="11" t="e">
        <f t="shared" ca="1" si="3"/>
        <v>#REF!</v>
      </c>
      <c r="K29" s="1" t="e">
        <f t="shared" ca="1" si="4"/>
        <v>#REF!</v>
      </c>
    </row>
    <row r="30" spans="1:11" x14ac:dyDescent="0.25">
      <c r="A30" s="12" t="s">
        <v>47</v>
      </c>
      <c r="B30" s="11" t="e">
        <f t="shared" ca="1" si="5"/>
        <v>#REF!</v>
      </c>
      <c r="C30" s="11" t="e">
        <f t="shared" ca="1" si="6"/>
        <v>#REF!</v>
      </c>
      <c r="D30" s="11" t="e">
        <f t="shared" ca="1" si="0"/>
        <v>#REF!</v>
      </c>
      <c r="E30" t="e">
        <f t="shared" ca="1" si="7"/>
        <v>#REF!</v>
      </c>
      <c r="F30" t="e">
        <f t="shared" ca="1" si="8"/>
        <v>#REF!</v>
      </c>
      <c r="G30" s="1" t="e">
        <f t="shared" ca="1" si="1"/>
        <v>#REF!</v>
      </c>
      <c r="I30" s="11" t="e">
        <f t="shared" ca="1" si="2"/>
        <v>#REF!</v>
      </c>
      <c r="J30" s="11" t="e">
        <f t="shared" ca="1" si="3"/>
        <v>#REF!</v>
      </c>
      <c r="K30" s="1" t="e">
        <f t="shared" ca="1" si="4"/>
        <v>#REF!</v>
      </c>
    </row>
    <row r="31" spans="1:11" x14ac:dyDescent="0.25">
      <c r="A31" s="12" t="s">
        <v>48</v>
      </c>
      <c r="B31" s="11" t="e">
        <f t="shared" ca="1" si="5"/>
        <v>#REF!</v>
      </c>
      <c r="C31" s="11" t="e">
        <f t="shared" ca="1" si="6"/>
        <v>#REF!</v>
      </c>
      <c r="D31" s="11" t="e">
        <f t="shared" ca="1" si="0"/>
        <v>#REF!</v>
      </c>
      <c r="E31" t="e">
        <f t="shared" ca="1" si="7"/>
        <v>#REF!</v>
      </c>
      <c r="F31" t="e">
        <f t="shared" ca="1" si="8"/>
        <v>#REF!</v>
      </c>
      <c r="G31" s="1" t="e">
        <f t="shared" ca="1" si="1"/>
        <v>#REF!</v>
      </c>
      <c r="I31" s="11" t="e">
        <f t="shared" ca="1" si="2"/>
        <v>#REF!</v>
      </c>
      <c r="J31" s="11" t="e">
        <f t="shared" ca="1" si="3"/>
        <v>#REF!</v>
      </c>
      <c r="K31" s="1" t="e">
        <f t="shared" ca="1" si="4"/>
        <v>#REF!</v>
      </c>
    </row>
    <row r="32" spans="1:11" x14ac:dyDescent="0.25">
      <c r="A32" s="12" t="s">
        <v>49</v>
      </c>
      <c r="B32" s="11" t="e">
        <f t="shared" ca="1" si="5"/>
        <v>#REF!</v>
      </c>
      <c r="C32" s="11" t="e">
        <f t="shared" ca="1" si="6"/>
        <v>#REF!</v>
      </c>
      <c r="D32" s="11" t="e">
        <f t="shared" ca="1" si="0"/>
        <v>#REF!</v>
      </c>
      <c r="E32" t="e">
        <f t="shared" ca="1" si="7"/>
        <v>#REF!</v>
      </c>
      <c r="F32" t="e">
        <f t="shared" ca="1" si="8"/>
        <v>#REF!</v>
      </c>
      <c r="G32" s="1" t="e">
        <f t="shared" ca="1" si="1"/>
        <v>#REF!</v>
      </c>
      <c r="I32" s="11" t="e">
        <f t="shared" ca="1" si="2"/>
        <v>#REF!</v>
      </c>
      <c r="J32" s="11" t="e">
        <f t="shared" ca="1" si="3"/>
        <v>#REF!</v>
      </c>
      <c r="K32" s="1" t="e">
        <f t="shared" ca="1" si="4"/>
        <v>#REF!</v>
      </c>
    </row>
    <row r="33" spans="1:11" x14ac:dyDescent="0.25">
      <c r="A33" s="12" t="s">
        <v>50</v>
      </c>
      <c r="B33" s="11" t="e">
        <f t="shared" ca="1" si="5"/>
        <v>#REF!</v>
      </c>
      <c r="C33" s="11" t="e">
        <f t="shared" ca="1" si="6"/>
        <v>#REF!</v>
      </c>
      <c r="D33" s="11" t="e">
        <f t="shared" ca="1" si="0"/>
        <v>#REF!</v>
      </c>
      <c r="E33" t="e">
        <f t="shared" ca="1" si="7"/>
        <v>#REF!</v>
      </c>
      <c r="F33" t="e">
        <f t="shared" ca="1" si="8"/>
        <v>#REF!</v>
      </c>
      <c r="G33" s="1" t="e">
        <f t="shared" ca="1" si="1"/>
        <v>#REF!</v>
      </c>
      <c r="I33" s="11" t="e">
        <f t="shared" ca="1" si="2"/>
        <v>#REF!</v>
      </c>
      <c r="J33" s="11" t="e">
        <f t="shared" ca="1" si="3"/>
        <v>#REF!</v>
      </c>
      <c r="K33" s="1" t="e">
        <f t="shared" ca="1" si="4"/>
        <v>#REF!</v>
      </c>
    </row>
    <row r="34" spans="1:11" x14ac:dyDescent="0.25">
      <c r="A34" s="12" t="s">
        <v>51</v>
      </c>
      <c r="B34" s="11" t="e">
        <f t="shared" ca="1" si="5"/>
        <v>#REF!</v>
      </c>
      <c r="C34" s="11" t="e">
        <f t="shared" ca="1" si="6"/>
        <v>#REF!</v>
      </c>
      <c r="D34" s="11" t="e">
        <f t="shared" ca="1" si="0"/>
        <v>#REF!</v>
      </c>
      <c r="E34" t="e">
        <f t="shared" ca="1" si="7"/>
        <v>#REF!</v>
      </c>
      <c r="F34" t="e">
        <f t="shared" ca="1" si="8"/>
        <v>#REF!</v>
      </c>
      <c r="G34" s="1" t="e">
        <f t="shared" ca="1" si="1"/>
        <v>#REF!</v>
      </c>
      <c r="I34" s="11" t="e">
        <f t="shared" ca="1" si="2"/>
        <v>#REF!</v>
      </c>
      <c r="J34" s="11" t="e">
        <f t="shared" ca="1" si="3"/>
        <v>#REF!</v>
      </c>
      <c r="K34" s="1" t="e">
        <f t="shared" ca="1" si="4"/>
        <v>#REF!</v>
      </c>
    </row>
    <row r="35" spans="1:11" x14ac:dyDescent="0.25">
      <c r="A35" s="12" t="s">
        <v>52</v>
      </c>
      <c r="B35" s="11" t="e">
        <f t="shared" ca="1" si="5"/>
        <v>#REF!</v>
      </c>
      <c r="C35" s="11" t="e">
        <f t="shared" ca="1" si="6"/>
        <v>#REF!</v>
      </c>
      <c r="D35" s="11" t="e">
        <f t="shared" ca="1" si="0"/>
        <v>#REF!</v>
      </c>
      <c r="E35" t="e">
        <f t="shared" ca="1" si="7"/>
        <v>#REF!</v>
      </c>
      <c r="F35" t="e">
        <f t="shared" ca="1" si="8"/>
        <v>#REF!</v>
      </c>
      <c r="G35" s="1" t="e">
        <f t="shared" ca="1" si="1"/>
        <v>#REF!</v>
      </c>
      <c r="I35" s="11" t="e">
        <f t="shared" ca="1" si="2"/>
        <v>#REF!</v>
      </c>
      <c r="J35" s="11" t="e">
        <f t="shared" ca="1" si="3"/>
        <v>#REF!</v>
      </c>
      <c r="K35" s="1" t="e">
        <f t="shared" ca="1" si="4"/>
        <v>#REF!</v>
      </c>
    </row>
    <row r="36" spans="1:11" x14ac:dyDescent="0.25">
      <c r="A36" s="12" t="s">
        <v>53</v>
      </c>
      <c r="B36" s="11" t="e">
        <f t="shared" ca="1" si="5"/>
        <v>#REF!</v>
      </c>
      <c r="C36" s="11" t="e">
        <f t="shared" ca="1" si="6"/>
        <v>#REF!</v>
      </c>
      <c r="D36" s="11" t="e">
        <f t="shared" ca="1" si="0"/>
        <v>#REF!</v>
      </c>
      <c r="E36" t="e">
        <f t="shared" ca="1" si="7"/>
        <v>#REF!</v>
      </c>
      <c r="F36" t="e">
        <f t="shared" ca="1" si="8"/>
        <v>#REF!</v>
      </c>
      <c r="G36" s="1" t="e">
        <f t="shared" ca="1" si="1"/>
        <v>#REF!</v>
      </c>
      <c r="I36" s="11" t="e">
        <f t="shared" ca="1" si="2"/>
        <v>#REF!</v>
      </c>
      <c r="J36" s="11" t="e">
        <f t="shared" ca="1" si="3"/>
        <v>#REF!</v>
      </c>
      <c r="K36" s="1" t="e">
        <f t="shared" ca="1" si="4"/>
        <v>#REF!</v>
      </c>
    </row>
    <row r="37" spans="1:11" x14ac:dyDescent="0.25">
      <c r="A37" s="12" t="s">
        <v>54</v>
      </c>
      <c r="B37" s="11" t="e">
        <f t="shared" ca="1" si="5"/>
        <v>#REF!</v>
      </c>
      <c r="C37" s="11" t="e">
        <f t="shared" ca="1" si="6"/>
        <v>#REF!</v>
      </c>
      <c r="D37" s="11" t="e">
        <f t="shared" ca="1" si="0"/>
        <v>#REF!</v>
      </c>
      <c r="E37" t="e">
        <f t="shared" ca="1" si="7"/>
        <v>#REF!</v>
      </c>
      <c r="F37" t="e">
        <f t="shared" ca="1" si="8"/>
        <v>#REF!</v>
      </c>
      <c r="G37" s="1" t="e">
        <f t="shared" ca="1" si="1"/>
        <v>#REF!</v>
      </c>
      <c r="I37" s="11" t="e">
        <f t="shared" ca="1" si="2"/>
        <v>#REF!</v>
      </c>
      <c r="J37" s="11" t="e">
        <f t="shared" ca="1" si="3"/>
        <v>#REF!</v>
      </c>
      <c r="K37" s="1" t="e">
        <f t="shared" ca="1" si="4"/>
        <v>#REF!</v>
      </c>
    </row>
    <row r="38" spans="1:11" x14ac:dyDescent="0.25">
      <c r="A38" s="12" t="s">
        <v>55</v>
      </c>
      <c r="B38" s="11" t="e">
        <f t="shared" ca="1" si="5"/>
        <v>#REF!</v>
      </c>
      <c r="C38" s="11" t="e">
        <f t="shared" ca="1" si="6"/>
        <v>#REF!</v>
      </c>
      <c r="D38" s="11" t="e">
        <f t="shared" ca="1" si="0"/>
        <v>#REF!</v>
      </c>
      <c r="E38" t="e">
        <f t="shared" ca="1" si="7"/>
        <v>#REF!</v>
      </c>
      <c r="F38" t="e">
        <f t="shared" ca="1" si="8"/>
        <v>#REF!</v>
      </c>
      <c r="G38" s="1" t="e">
        <f t="shared" ca="1" si="1"/>
        <v>#REF!</v>
      </c>
      <c r="I38" s="11" t="e">
        <f t="shared" ca="1" si="2"/>
        <v>#REF!</v>
      </c>
      <c r="J38" s="11" t="e">
        <f t="shared" ca="1" si="3"/>
        <v>#REF!</v>
      </c>
      <c r="K38" s="1" t="e">
        <f t="shared" ca="1" si="4"/>
        <v>#REF!</v>
      </c>
    </row>
    <row r="39" spans="1:11" x14ac:dyDescent="0.25">
      <c r="A39" s="12" t="s">
        <v>56</v>
      </c>
      <c r="B39" s="11" t="e">
        <f t="shared" ca="1" si="5"/>
        <v>#REF!</v>
      </c>
      <c r="C39" s="11" t="e">
        <f t="shared" ca="1" si="6"/>
        <v>#REF!</v>
      </c>
      <c r="D39" s="11" t="e">
        <f t="shared" ca="1" si="0"/>
        <v>#REF!</v>
      </c>
      <c r="E39" t="e">
        <f t="shared" ca="1" si="7"/>
        <v>#REF!</v>
      </c>
      <c r="F39" t="e">
        <f t="shared" ca="1" si="8"/>
        <v>#REF!</v>
      </c>
      <c r="G39" s="1" t="e">
        <f t="shared" ca="1" si="1"/>
        <v>#REF!</v>
      </c>
      <c r="I39" s="11" t="e">
        <f t="shared" ca="1" si="2"/>
        <v>#REF!</v>
      </c>
      <c r="J39" s="11" t="e">
        <f t="shared" ca="1" si="3"/>
        <v>#REF!</v>
      </c>
      <c r="K39" s="1" t="e">
        <f t="shared" ca="1" si="4"/>
        <v>#REF!</v>
      </c>
    </row>
    <row r="40" spans="1:11" x14ac:dyDescent="0.25">
      <c r="A40" s="12" t="s">
        <v>57</v>
      </c>
      <c r="B40" s="11" t="e">
        <f t="shared" ca="1" si="5"/>
        <v>#REF!</v>
      </c>
      <c r="C40" s="11" t="e">
        <f t="shared" ca="1" si="6"/>
        <v>#REF!</v>
      </c>
      <c r="D40" s="11" t="e">
        <f t="shared" ca="1" si="0"/>
        <v>#REF!</v>
      </c>
      <c r="E40" t="e">
        <f t="shared" ca="1" si="7"/>
        <v>#REF!</v>
      </c>
      <c r="F40" t="e">
        <f t="shared" ca="1" si="8"/>
        <v>#REF!</v>
      </c>
      <c r="G40" s="1" t="e">
        <f t="shared" ca="1" si="1"/>
        <v>#REF!</v>
      </c>
      <c r="I40" s="11" t="e">
        <f t="shared" ca="1" si="2"/>
        <v>#REF!</v>
      </c>
      <c r="J40" s="11" t="e">
        <f t="shared" ca="1" si="3"/>
        <v>#REF!</v>
      </c>
      <c r="K40" s="1" t="e">
        <f t="shared" ca="1" si="4"/>
        <v>#REF!</v>
      </c>
    </row>
    <row r="41" spans="1:11" x14ac:dyDescent="0.25">
      <c r="A41" s="12" t="s">
        <v>58</v>
      </c>
      <c r="B41" s="11" t="e">
        <f t="shared" ca="1" si="5"/>
        <v>#REF!</v>
      </c>
      <c r="C41" s="11" t="e">
        <f t="shared" ca="1" si="6"/>
        <v>#REF!</v>
      </c>
      <c r="D41" s="11" t="e">
        <f t="shared" ca="1" si="0"/>
        <v>#REF!</v>
      </c>
      <c r="E41" t="e">
        <f t="shared" ca="1" si="7"/>
        <v>#REF!</v>
      </c>
      <c r="F41" t="e">
        <f t="shared" ca="1" si="8"/>
        <v>#REF!</v>
      </c>
      <c r="G41" s="1" t="e">
        <f t="shared" ca="1" si="1"/>
        <v>#REF!</v>
      </c>
      <c r="I41" s="11" t="e">
        <f t="shared" ca="1" si="2"/>
        <v>#REF!</v>
      </c>
      <c r="J41" s="11" t="e">
        <f t="shared" ca="1" si="3"/>
        <v>#REF!</v>
      </c>
      <c r="K41" s="1" t="e">
        <f t="shared" ca="1" si="4"/>
        <v>#REF!</v>
      </c>
    </row>
    <row r="42" spans="1:11" x14ac:dyDescent="0.25">
      <c r="A42" s="12" t="s">
        <v>59</v>
      </c>
      <c r="B42" s="11" t="e">
        <f t="shared" ca="1" si="5"/>
        <v>#REF!</v>
      </c>
      <c r="C42" s="11" t="e">
        <f t="shared" ca="1" si="6"/>
        <v>#REF!</v>
      </c>
      <c r="D42" s="11" t="e">
        <f t="shared" ca="1" si="0"/>
        <v>#REF!</v>
      </c>
      <c r="E42" t="e">
        <f t="shared" ca="1" si="7"/>
        <v>#REF!</v>
      </c>
      <c r="F42" t="e">
        <f t="shared" ca="1" si="8"/>
        <v>#REF!</v>
      </c>
      <c r="G42" s="1" t="e">
        <f t="shared" ca="1" si="1"/>
        <v>#REF!</v>
      </c>
      <c r="I42" s="11" t="e">
        <f t="shared" ca="1" si="2"/>
        <v>#REF!</v>
      </c>
      <c r="J42" s="11" t="e">
        <f t="shared" ca="1" si="3"/>
        <v>#REF!</v>
      </c>
      <c r="K42" s="1" t="e">
        <f t="shared" ca="1" si="4"/>
        <v>#REF!</v>
      </c>
    </row>
    <row r="43" spans="1:11" x14ac:dyDescent="0.25">
      <c r="A43" s="12" t="s">
        <v>60</v>
      </c>
      <c r="B43" s="11" t="e">
        <f t="shared" ca="1" si="5"/>
        <v>#REF!</v>
      </c>
      <c r="C43" s="11" t="e">
        <f t="shared" ca="1" si="6"/>
        <v>#REF!</v>
      </c>
      <c r="D43" s="11" t="e">
        <f t="shared" ca="1" si="0"/>
        <v>#REF!</v>
      </c>
      <c r="E43" t="e">
        <f t="shared" ca="1" si="7"/>
        <v>#REF!</v>
      </c>
      <c r="F43" t="e">
        <f t="shared" ca="1" si="8"/>
        <v>#REF!</v>
      </c>
      <c r="G43" s="1" t="e">
        <f t="shared" ca="1" si="1"/>
        <v>#REF!</v>
      </c>
      <c r="I43" s="11" t="e">
        <f t="shared" ca="1" si="2"/>
        <v>#REF!</v>
      </c>
      <c r="J43" s="11" t="e">
        <f t="shared" ca="1" si="3"/>
        <v>#REF!</v>
      </c>
      <c r="K43" s="1" t="e">
        <f t="shared" ca="1" si="4"/>
        <v>#REF!</v>
      </c>
    </row>
    <row r="44" spans="1:11" x14ac:dyDescent="0.25">
      <c r="A44" s="12" t="s">
        <v>61</v>
      </c>
      <c r="B44" s="11" t="e">
        <f t="shared" ca="1" si="5"/>
        <v>#REF!</v>
      </c>
      <c r="C44" s="11" t="e">
        <f t="shared" ca="1" si="6"/>
        <v>#REF!</v>
      </c>
      <c r="D44" s="11" t="e">
        <f t="shared" ca="1" si="0"/>
        <v>#REF!</v>
      </c>
      <c r="E44" t="e">
        <f t="shared" ca="1" si="7"/>
        <v>#REF!</v>
      </c>
      <c r="F44" t="e">
        <f t="shared" ca="1" si="8"/>
        <v>#REF!</v>
      </c>
      <c r="G44" s="1" t="e">
        <f t="shared" ca="1" si="1"/>
        <v>#REF!</v>
      </c>
      <c r="I44" s="11" t="e">
        <f t="shared" ca="1" si="2"/>
        <v>#REF!</v>
      </c>
      <c r="J44" s="11" t="e">
        <f t="shared" ca="1" si="3"/>
        <v>#REF!</v>
      </c>
      <c r="K44" s="1" t="e">
        <f t="shared" ca="1" si="4"/>
        <v>#REF!</v>
      </c>
    </row>
    <row r="45" spans="1:11" x14ac:dyDescent="0.25">
      <c r="A45" s="12" t="s">
        <v>62</v>
      </c>
      <c r="B45" s="11" t="e">
        <f t="shared" ca="1" si="5"/>
        <v>#REF!</v>
      </c>
      <c r="C45" s="11" t="e">
        <f t="shared" ca="1" si="6"/>
        <v>#REF!</v>
      </c>
      <c r="D45" s="11" t="e">
        <f t="shared" ca="1" si="0"/>
        <v>#REF!</v>
      </c>
      <c r="E45" t="e">
        <f t="shared" ca="1" si="7"/>
        <v>#REF!</v>
      </c>
      <c r="F45" t="e">
        <f t="shared" ca="1" si="8"/>
        <v>#REF!</v>
      </c>
      <c r="G45" s="1" t="e">
        <f t="shared" ca="1" si="1"/>
        <v>#REF!</v>
      </c>
      <c r="I45" s="11" t="e">
        <f t="shared" ca="1" si="2"/>
        <v>#REF!</v>
      </c>
      <c r="J45" s="11" t="e">
        <f t="shared" ca="1" si="3"/>
        <v>#REF!</v>
      </c>
      <c r="K45" s="1" t="e">
        <f t="shared" ca="1" si="4"/>
        <v>#REF!</v>
      </c>
    </row>
    <row r="46" spans="1:11" x14ac:dyDescent="0.25">
      <c r="A46" s="12" t="s">
        <v>63</v>
      </c>
      <c r="B46" s="11" t="e">
        <f t="shared" ca="1" si="5"/>
        <v>#REF!</v>
      </c>
      <c r="C46" s="11" t="e">
        <f t="shared" ca="1" si="6"/>
        <v>#REF!</v>
      </c>
      <c r="D46" s="11" t="e">
        <f t="shared" ca="1" si="0"/>
        <v>#REF!</v>
      </c>
      <c r="E46" t="e">
        <f t="shared" ca="1" si="7"/>
        <v>#REF!</v>
      </c>
      <c r="F46" t="e">
        <f t="shared" ca="1" si="8"/>
        <v>#REF!</v>
      </c>
      <c r="G46" s="1" t="e">
        <f t="shared" ca="1" si="1"/>
        <v>#REF!</v>
      </c>
      <c r="I46" s="11" t="e">
        <f t="shared" ca="1" si="2"/>
        <v>#REF!</v>
      </c>
      <c r="J46" s="11" t="e">
        <f t="shared" ca="1" si="3"/>
        <v>#REF!</v>
      </c>
      <c r="K46" s="1" t="e">
        <f t="shared" ca="1" si="4"/>
        <v>#REF!</v>
      </c>
    </row>
    <row r="47" spans="1:11" x14ac:dyDescent="0.25">
      <c r="A47" s="12" t="s">
        <v>64</v>
      </c>
      <c r="B47" s="11" t="e">
        <f t="shared" ca="1" si="5"/>
        <v>#REF!</v>
      </c>
      <c r="C47" s="11" t="e">
        <f t="shared" ca="1" si="6"/>
        <v>#REF!</v>
      </c>
      <c r="D47" s="11" t="e">
        <f t="shared" ca="1" si="0"/>
        <v>#REF!</v>
      </c>
      <c r="E47" t="e">
        <f t="shared" ca="1" si="7"/>
        <v>#REF!</v>
      </c>
      <c r="F47" t="e">
        <f t="shared" ca="1" si="8"/>
        <v>#REF!</v>
      </c>
      <c r="G47" s="1" t="e">
        <f t="shared" ca="1" si="1"/>
        <v>#REF!</v>
      </c>
      <c r="I47" s="11" t="e">
        <f t="shared" ca="1" si="2"/>
        <v>#REF!</v>
      </c>
      <c r="J47" s="11" t="e">
        <f t="shared" ca="1" si="3"/>
        <v>#REF!</v>
      </c>
      <c r="K47" s="1" t="e">
        <f t="shared" ca="1" si="4"/>
        <v>#REF!</v>
      </c>
    </row>
    <row r="48" spans="1:11" x14ac:dyDescent="0.25">
      <c r="A48" s="12" t="s">
        <v>65</v>
      </c>
      <c r="B48" s="11" t="e">
        <f t="shared" ca="1" si="5"/>
        <v>#REF!</v>
      </c>
      <c r="C48" s="11" t="e">
        <f t="shared" ca="1" si="6"/>
        <v>#REF!</v>
      </c>
      <c r="D48" s="11" t="e">
        <f t="shared" ca="1" si="0"/>
        <v>#REF!</v>
      </c>
      <c r="E48" t="e">
        <f t="shared" ca="1" si="7"/>
        <v>#REF!</v>
      </c>
      <c r="F48" t="e">
        <f t="shared" ca="1" si="8"/>
        <v>#REF!</v>
      </c>
      <c r="G48" s="1" t="e">
        <f t="shared" ca="1" si="1"/>
        <v>#REF!</v>
      </c>
      <c r="I48" s="11" t="e">
        <f t="shared" ca="1" si="2"/>
        <v>#REF!</v>
      </c>
      <c r="J48" s="11" t="e">
        <f t="shared" ca="1" si="3"/>
        <v>#REF!</v>
      </c>
      <c r="K48" s="1" t="e">
        <f t="shared" ca="1" si="4"/>
        <v>#REF!</v>
      </c>
    </row>
    <row r="49" spans="1:11" x14ac:dyDescent="0.25">
      <c r="A49" s="12" t="s">
        <v>66</v>
      </c>
      <c r="B49" s="11" t="e">
        <f t="shared" ca="1" si="5"/>
        <v>#REF!</v>
      </c>
      <c r="C49" s="11" t="e">
        <f t="shared" ca="1" si="6"/>
        <v>#REF!</v>
      </c>
      <c r="D49" s="11" t="e">
        <f t="shared" ca="1" si="0"/>
        <v>#REF!</v>
      </c>
      <c r="E49" t="e">
        <f t="shared" ca="1" si="7"/>
        <v>#REF!</v>
      </c>
      <c r="F49" t="e">
        <f t="shared" ca="1" si="8"/>
        <v>#REF!</v>
      </c>
      <c r="G49" s="1" t="e">
        <f t="shared" ca="1" si="1"/>
        <v>#REF!</v>
      </c>
      <c r="I49" s="11" t="e">
        <f t="shared" ca="1" si="2"/>
        <v>#REF!</v>
      </c>
      <c r="J49" s="11" t="e">
        <f t="shared" ca="1" si="3"/>
        <v>#REF!</v>
      </c>
      <c r="K49" s="1" t="e">
        <f t="shared" ca="1" si="4"/>
        <v>#REF!</v>
      </c>
    </row>
    <row r="50" spans="1:11" x14ac:dyDescent="0.25">
      <c r="A50" s="12" t="s">
        <v>67</v>
      </c>
      <c r="B50" s="11" t="e">
        <f t="shared" ca="1" si="5"/>
        <v>#REF!</v>
      </c>
      <c r="C50" s="11" t="e">
        <f t="shared" ca="1" si="6"/>
        <v>#REF!</v>
      </c>
      <c r="D50" s="11" t="e">
        <f t="shared" ca="1" si="0"/>
        <v>#REF!</v>
      </c>
      <c r="E50" t="e">
        <f t="shared" ca="1" si="7"/>
        <v>#REF!</v>
      </c>
      <c r="F50" t="e">
        <f t="shared" ca="1" si="8"/>
        <v>#REF!</v>
      </c>
      <c r="G50" s="1" t="e">
        <f t="shared" ca="1" si="1"/>
        <v>#REF!</v>
      </c>
      <c r="I50" s="11" t="e">
        <f t="shared" ca="1" si="2"/>
        <v>#REF!</v>
      </c>
      <c r="J50" s="11" t="e">
        <f t="shared" ca="1" si="3"/>
        <v>#REF!</v>
      </c>
      <c r="K50" s="1" t="e">
        <f t="shared" ca="1" si="4"/>
        <v>#REF!</v>
      </c>
    </row>
    <row r="51" spans="1:11" x14ac:dyDescent="0.25">
      <c r="A51" s="12" t="s">
        <v>68</v>
      </c>
      <c r="B51" s="11" t="e">
        <f t="shared" ca="1" si="5"/>
        <v>#REF!</v>
      </c>
      <c r="C51" s="11" t="e">
        <f t="shared" ca="1" si="6"/>
        <v>#REF!</v>
      </c>
      <c r="D51" s="11" t="e">
        <f t="shared" ca="1" si="0"/>
        <v>#REF!</v>
      </c>
      <c r="E51" t="e">
        <f t="shared" ca="1" si="7"/>
        <v>#REF!</v>
      </c>
      <c r="F51" t="e">
        <f t="shared" ca="1" si="8"/>
        <v>#REF!</v>
      </c>
      <c r="G51" s="1" t="e">
        <f t="shared" ca="1" si="1"/>
        <v>#REF!</v>
      </c>
      <c r="I51" s="11" t="e">
        <f t="shared" ca="1" si="2"/>
        <v>#REF!</v>
      </c>
      <c r="J51" s="11" t="e">
        <f t="shared" ca="1" si="3"/>
        <v>#REF!</v>
      </c>
      <c r="K51" s="1" t="e">
        <f t="shared" ca="1" si="4"/>
        <v>#REF!</v>
      </c>
    </row>
    <row r="52" spans="1:11" x14ac:dyDescent="0.25">
      <c r="A52" s="12" t="s">
        <v>20</v>
      </c>
      <c r="B52" s="11" t="e">
        <f t="shared" ca="1" si="5"/>
        <v>#REF!</v>
      </c>
      <c r="C52" s="11" t="e">
        <f t="shared" ca="1" si="6"/>
        <v>#REF!</v>
      </c>
      <c r="D52" s="11" t="e">
        <f t="shared" ca="1" si="0"/>
        <v>#REF!</v>
      </c>
      <c r="E52" t="e">
        <f t="shared" ca="1" si="7"/>
        <v>#REF!</v>
      </c>
      <c r="F52" t="e">
        <f t="shared" ca="1" si="8"/>
        <v>#REF!</v>
      </c>
      <c r="G52" s="1" t="e">
        <f t="shared" ca="1" si="1"/>
        <v>#REF!</v>
      </c>
      <c r="I52" s="11" t="e">
        <f t="shared" ca="1" si="2"/>
        <v>#REF!</v>
      </c>
      <c r="J52" s="11" t="e">
        <f t="shared" ca="1" si="3"/>
        <v>#REF!</v>
      </c>
      <c r="K52" s="1" t="e">
        <f t="shared" ca="1" si="4"/>
        <v>#REF!</v>
      </c>
    </row>
    <row r="53" spans="1:11" x14ac:dyDescent="0.25">
      <c r="A53" s="12" t="s">
        <v>21</v>
      </c>
      <c r="B53" s="11" t="e">
        <f t="shared" ca="1" si="5"/>
        <v>#REF!</v>
      </c>
      <c r="C53" s="11" t="e">
        <f t="shared" ca="1" si="6"/>
        <v>#REF!</v>
      </c>
      <c r="D53" s="11" t="e">
        <f t="shared" ca="1" si="0"/>
        <v>#REF!</v>
      </c>
      <c r="E53" t="e">
        <f t="shared" ca="1" si="7"/>
        <v>#REF!</v>
      </c>
      <c r="F53" t="e">
        <f t="shared" ca="1" si="8"/>
        <v>#REF!</v>
      </c>
      <c r="G53" s="1" t="e">
        <f t="shared" ca="1" si="1"/>
        <v>#REF!</v>
      </c>
      <c r="I53" s="11" t="e">
        <f t="shared" ca="1" si="2"/>
        <v>#REF!</v>
      </c>
      <c r="J53" s="11" t="e">
        <f t="shared" ca="1" si="3"/>
        <v>#REF!</v>
      </c>
      <c r="K53" s="1" t="e">
        <f t="shared" ca="1" si="4"/>
        <v>#REF!</v>
      </c>
    </row>
    <row r="54" spans="1:11" x14ac:dyDescent="0.25">
      <c r="A54" s="12" t="s">
        <v>22</v>
      </c>
      <c r="B54" s="11" t="e">
        <f t="shared" ca="1" si="5"/>
        <v>#REF!</v>
      </c>
      <c r="C54" s="11" t="e">
        <f t="shared" ca="1" si="6"/>
        <v>#REF!</v>
      </c>
      <c r="D54" s="11" t="e">
        <f t="shared" ca="1" si="0"/>
        <v>#REF!</v>
      </c>
      <c r="E54" t="e">
        <f t="shared" ca="1" si="7"/>
        <v>#REF!</v>
      </c>
      <c r="F54" t="e">
        <f t="shared" ca="1" si="8"/>
        <v>#REF!</v>
      </c>
      <c r="G54" s="1" t="e">
        <f t="shared" ca="1" si="1"/>
        <v>#REF!</v>
      </c>
      <c r="I54" s="11" t="e">
        <f t="shared" ca="1" si="2"/>
        <v>#REF!</v>
      </c>
      <c r="J54" s="11" t="e">
        <f t="shared" ca="1" si="3"/>
        <v>#REF!</v>
      </c>
      <c r="K54" s="1" t="e">
        <f t="shared" ca="1" si="4"/>
        <v>#REF!</v>
      </c>
    </row>
    <row r="55" spans="1:11" x14ac:dyDescent="0.25">
      <c r="A55" s="12" t="s">
        <v>23</v>
      </c>
      <c r="B55" s="11" t="e">
        <f t="shared" ca="1" si="5"/>
        <v>#REF!</v>
      </c>
      <c r="C55" s="11" t="e">
        <f t="shared" ca="1" si="6"/>
        <v>#REF!</v>
      </c>
      <c r="D55" s="11" t="e">
        <f t="shared" ca="1" si="0"/>
        <v>#REF!</v>
      </c>
      <c r="E55" t="e">
        <f t="shared" ca="1" si="7"/>
        <v>#REF!</v>
      </c>
      <c r="F55" t="e">
        <f t="shared" ca="1" si="8"/>
        <v>#REF!</v>
      </c>
      <c r="G55" s="1" t="e">
        <f t="shared" ca="1" si="1"/>
        <v>#REF!</v>
      </c>
      <c r="I55" s="11" t="e">
        <f t="shared" ca="1" si="2"/>
        <v>#REF!</v>
      </c>
      <c r="J55" s="11" t="e">
        <f t="shared" ca="1" si="3"/>
        <v>#REF!</v>
      </c>
      <c r="K55" s="1" t="e">
        <f t="shared" ca="1" si="4"/>
        <v>#REF!</v>
      </c>
    </row>
    <row r="56" spans="1:11" x14ac:dyDescent="0.25">
      <c r="A56" s="12" t="s">
        <v>24</v>
      </c>
      <c r="B56" s="11" t="e">
        <f t="shared" ca="1" si="5"/>
        <v>#REF!</v>
      </c>
      <c r="C56" s="11" t="e">
        <f t="shared" ca="1" si="6"/>
        <v>#REF!</v>
      </c>
      <c r="D56" s="11" t="e">
        <f t="shared" ca="1" si="0"/>
        <v>#REF!</v>
      </c>
      <c r="E56" t="e">
        <f t="shared" ca="1" si="7"/>
        <v>#REF!</v>
      </c>
      <c r="F56" t="e">
        <f t="shared" ca="1" si="8"/>
        <v>#REF!</v>
      </c>
      <c r="G56" s="1" t="e">
        <f t="shared" ca="1" si="1"/>
        <v>#REF!</v>
      </c>
      <c r="I56" s="11" t="e">
        <f t="shared" ca="1" si="2"/>
        <v>#REF!</v>
      </c>
      <c r="J56" s="11" t="e">
        <f t="shared" ca="1" si="3"/>
        <v>#REF!</v>
      </c>
      <c r="K56" s="1" t="e">
        <f t="shared" ca="1" si="4"/>
        <v>#REF!</v>
      </c>
    </row>
    <row r="57" spans="1:11" x14ac:dyDescent="0.25">
      <c r="A57" s="12" t="s">
        <v>25</v>
      </c>
      <c r="B57" s="11" t="e">
        <f t="shared" ca="1" si="5"/>
        <v>#REF!</v>
      </c>
      <c r="C57" s="11" t="e">
        <f t="shared" ca="1" si="6"/>
        <v>#REF!</v>
      </c>
      <c r="D57" s="11" t="e">
        <f t="shared" ca="1" si="0"/>
        <v>#REF!</v>
      </c>
      <c r="E57" t="e">
        <f t="shared" ca="1" si="7"/>
        <v>#REF!</v>
      </c>
      <c r="F57" t="e">
        <f t="shared" ca="1" si="8"/>
        <v>#REF!</v>
      </c>
      <c r="G57" s="1" t="e">
        <f t="shared" ca="1" si="1"/>
        <v>#REF!</v>
      </c>
      <c r="I57" s="11" t="e">
        <f t="shared" ca="1" si="2"/>
        <v>#REF!</v>
      </c>
      <c r="J57" s="11" t="e">
        <f t="shared" ca="1" si="3"/>
        <v>#REF!</v>
      </c>
      <c r="K57" s="1" t="e">
        <f t="shared" ca="1" si="4"/>
        <v>#REF!</v>
      </c>
    </row>
    <row r="58" spans="1:11" x14ac:dyDescent="0.25">
      <c r="A58" s="12" t="s">
        <v>26</v>
      </c>
      <c r="B58" s="11" t="e">
        <f t="shared" ca="1" si="5"/>
        <v>#REF!</v>
      </c>
      <c r="C58" s="11" t="e">
        <f t="shared" ca="1" si="6"/>
        <v>#REF!</v>
      </c>
      <c r="D58" s="11" t="e">
        <f t="shared" ca="1" si="0"/>
        <v>#REF!</v>
      </c>
      <c r="E58" t="e">
        <f t="shared" ca="1" si="7"/>
        <v>#REF!</v>
      </c>
      <c r="F58" t="e">
        <f t="shared" ca="1" si="8"/>
        <v>#REF!</v>
      </c>
      <c r="G58" s="1" t="e">
        <f t="shared" ca="1" si="1"/>
        <v>#REF!</v>
      </c>
      <c r="I58" s="11" t="e">
        <f t="shared" ca="1" si="2"/>
        <v>#REF!</v>
      </c>
      <c r="J58" s="11" t="e">
        <f t="shared" ca="1" si="3"/>
        <v>#REF!</v>
      </c>
      <c r="K58" s="1" t="e">
        <f t="shared" ca="1" si="4"/>
        <v>#REF!</v>
      </c>
    </row>
    <row r="59" spans="1:11" x14ac:dyDescent="0.25">
      <c r="A59" s="12" t="s">
        <v>19</v>
      </c>
      <c r="B59" s="11" t="e">
        <f ca="1">INDIRECT(A59&amp;"!D2",TRUE)</f>
        <v>#REF!</v>
      </c>
      <c r="C59" s="11" t="e">
        <f t="shared" ref="C59:C70" ca="1" si="9">INDIRECT(A59&amp;"!E2",TRUE)</f>
        <v>#REF!</v>
      </c>
      <c r="D59" s="11" t="e">
        <f t="shared" ref="D59:D70" ca="1" si="10">IF(B59&gt;C59,"JAMIE","MATT")</f>
        <v>#REF!</v>
      </c>
      <c r="E59" t="e">
        <f t="shared" ref="E59:E70" ca="1" si="11">INDIRECT(A59&amp;"!B1",TRUE)</f>
        <v>#REF!</v>
      </c>
      <c r="F59" t="e">
        <f t="shared" ref="F59:F70" ca="1" si="12">INDIRECT(A59&amp;"!C1",TRUE)</f>
        <v>#REF!</v>
      </c>
      <c r="G59" s="1" t="e">
        <f t="shared" ref="G59:G70" ca="1" si="13">ABS(B59-C59)</f>
        <v>#REF!</v>
      </c>
      <c r="I59" s="11" t="e">
        <f t="shared" ref="I59:I70" ca="1" si="14">I58+B59</f>
        <v>#REF!</v>
      </c>
      <c r="J59" s="11" t="e">
        <f t="shared" ref="J59:J70" ca="1" si="15">J58+C59</f>
        <v>#REF!</v>
      </c>
      <c r="K59" s="1" t="e">
        <f t="shared" ref="K59:K70" ca="1" si="16">ABS(J59-I59)</f>
        <v>#REF!</v>
      </c>
    </row>
    <row r="60" spans="1:11" x14ac:dyDescent="0.25">
      <c r="A60" s="12" t="s">
        <v>69</v>
      </c>
      <c r="B60" s="11" t="e">
        <f ca="1">INDIRECT(A60&amp;"!D2",TRUE)</f>
        <v>#REF!</v>
      </c>
      <c r="C60" s="11" t="e">
        <f t="shared" ca="1" si="9"/>
        <v>#REF!</v>
      </c>
      <c r="D60" s="11" t="e">
        <f t="shared" ca="1" si="10"/>
        <v>#REF!</v>
      </c>
      <c r="E60" t="e">
        <f t="shared" ca="1" si="11"/>
        <v>#REF!</v>
      </c>
      <c r="F60" t="e">
        <f t="shared" ca="1" si="12"/>
        <v>#REF!</v>
      </c>
      <c r="G60" s="1" t="e">
        <f t="shared" ca="1" si="13"/>
        <v>#REF!</v>
      </c>
      <c r="I60" s="11" t="e">
        <f t="shared" ca="1" si="14"/>
        <v>#REF!</v>
      </c>
      <c r="J60" s="11" t="e">
        <f t="shared" ca="1" si="15"/>
        <v>#REF!</v>
      </c>
      <c r="K60" s="1" t="e">
        <f t="shared" ca="1" si="16"/>
        <v>#REF!</v>
      </c>
    </row>
    <row r="61" spans="1:11" x14ac:dyDescent="0.25">
      <c r="A61" s="12" t="s">
        <v>70</v>
      </c>
      <c r="B61" s="11" t="e">
        <f ca="1">INDIRECT(A61&amp;"!D2",TRUE)</f>
        <v>#REF!</v>
      </c>
      <c r="C61" s="11" t="e">
        <f t="shared" ca="1" si="9"/>
        <v>#REF!</v>
      </c>
      <c r="D61" s="11" t="e">
        <f t="shared" ca="1" si="10"/>
        <v>#REF!</v>
      </c>
      <c r="E61" t="e">
        <f t="shared" ca="1" si="11"/>
        <v>#REF!</v>
      </c>
      <c r="F61" t="e">
        <f t="shared" ca="1" si="12"/>
        <v>#REF!</v>
      </c>
      <c r="G61" s="1" t="e">
        <f t="shared" ca="1" si="13"/>
        <v>#REF!</v>
      </c>
      <c r="I61" s="11" t="e">
        <f t="shared" ca="1" si="14"/>
        <v>#REF!</v>
      </c>
      <c r="J61" s="11" t="e">
        <f t="shared" ca="1" si="15"/>
        <v>#REF!</v>
      </c>
      <c r="K61" s="1" t="e">
        <f t="shared" ca="1" si="16"/>
        <v>#REF!</v>
      </c>
    </row>
    <row r="62" spans="1:11" x14ac:dyDescent="0.25">
      <c r="A62" s="12" t="s">
        <v>71</v>
      </c>
      <c r="B62" s="11" t="e">
        <f t="shared" ref="B62:B70" ca="1" si="17">INDIRECT(A62&amp;"!D2",TRUE)</f>
        <v>#REF!</v>
      </c>
      <c r="C62" s="11" t="e">
        <f t="shared" ca="1" si="9"/>
        <v>#REF!</v>
      </c>
      <c r="D62" s="11" t="e">
        <f t="shared" ca="1" si="10"/>
        <v>#REF!</v>
      </c>
      <c r="E62" t="e">
        <f t="shared" ca="1" si="11"/>
        <v>#REF!</v>
      </c>
      <c r="F62" t="e">
        <f t="shared" ca="1" si="12"/>
        <v>#REF!</v>
      </c>
      <c r="G62" s="1" t="e">
        <f t="shared" ca="1" si="13"/>
        <v>#REF!</v>
      </c>
      <c r="I62" s="11" t="e">
        <f t="shared" ca="1" si="14"/>
        <v>#REF!</v>
      </c>
      <c r="J62" s="11" t="e">
        <f t="shared" ca="1" si="15"/>
        <v>#REF!</v>
      </c>
      <c r="K62" s="1" t="e">
        <f t="shared" ca="1" si="16"/>
        <v>#REF!</v>
      </c>
    </row>
    <row r="63" spans="1:11" x14ac:dyDescent="0.25">
      <c r="A63" s="12" t="s">
        <v>72</v>
      </c>
      <c r="B63" s="11" t="e">
        <f t="shared" ca="1" si="17"/>
        <v>#REF!</v>
      </c>
      <c r="C63" s="11" t="e">
        <f t="shared" ca="1" si="9"/>
        <v>#REF!</v>
      </c>
      <c r="D63" s="11" t="e">
        <f t="shared" ca="1" si="10"/>
        <v>#REF!</v>
      </c>
      <c r="E63" t="e">
        <f t="shared" ca="1" si="11"/>
        <v>#REF!</v>
      </c>
      <c r="F63" t="e">
        <f t="shared" ca="1" si="12"/>
        <v>#REF!</v>
      </c>
      <c r="G63" s="1" t="e">
        <f t="shared" ca="1" si="13"/>
        <v>#REF!</v>
      </c>
      <c r="I63" s="11" t="e">
        <f t="shared" ca="1" si="14"/>
        <v>#REF!</v>
      </c>
      <c r="J63" s="11" t="e">
        <f t="shared" ca="1" si="15"/>
        <v>#REF!</v>
      </c>
      <c r="K63" s="1" t="e">
        <f t="shared" ca="1" si="16"/>
        <v>#REF!</v>
      </c>
    </row>
    <row r="64" spans="1:11" x14ac:dyDescent="0.25">
      <c r="A64" s="12" t="s">
        <v>73</v>
      </c>
      <c r="B64" s="11" t="e">
        <f t="shared" ca="1" si="17"/>
        <v>#REF!</v>
      </c>
      <c r="C64" s="11" t="e">
        <f t="shared" ca="1" si="9"/>
        <v>#REF!</v>
      </c>
      <c r="D64" s="11" t="e">
        <f t="shared" ca="1" si="10"/>
        <v>#REF!</v>
      </c>
      <c r="E64" t="e">
        <f t="shared" ca="1" si="11"/>
        <v>#REF!</v>
      </c>
      <c r="F64" t="e">
        <f t="shared" ca="1" si="12"/>
        <v>#REF!</v>
      </c>
      <c r="G64" s="1" t="e">
        <f t="shared" ca="1" si="13"/>
        <v>#REF!</v>
      </c>
      <c r="I64" s="11" t="e">
        <f t="shared" ca="1" si="14"/>
        <v>#REF!</v>
      </c>
      <c r="J64" s="11" t="e">
        <f t="shared" ca="1" si="15"/>
        <v>#REF!</v>
      </c>
      <c r="K64" s="1" t="e">
        <f t="shared" ca="1" si="16"/>
        <v>#REF!</v>
      </c>
    </row>
    <row r="65" spans="1:11" x14ac:dyDescent="0.25">
      <c r="A65" s="12" t="s">
        <v>74</v>
      </c>
      <c r="B65" s="11" t="e">
        <f t="shared" ca="1" si="17"/>
        <v>#REF!</v>
      </c>
      <c r="C65" s="11" t="e">
        <f t="shared" ca="1" si="9"/>
        <v>#REF!</v>
      </c>
      <c r="D65" s="11" t="e">
        <f t="shared" ca="1" si="10"/>
        <v>#REF!</v>
      </c>
      <c r="E65" t="e">
        <f t="shared" ca="1" si="11"/>
        <v>#REF!</v>
      </c>
      <c r="F65" t="e">
        <f t="shared" ca="1" si="12"/>
        <v>#REF!</v>
      </c>
      <c r="G65" s="1" t="e">
        <f t="shared" ca="1" si="13"/>
        <v>#REF!</v>
      </c>
      <c r="I65" s="11" t="e">
        <f t="shared" ca="1" si="14"/>
        <v>#REF!</v>
      </c>
      <c r="J65" s="11" t="e">
        <f t="shared" ca="1" si="15"/>
        <v>#REF!</v>
      </c>
      <c r="K65" s="1" t="e">
        <f t="shared" ca="1" si="16"/>
        <v>#REF!</v>
      </c>
    </row>
    <row r="66" spans="1:11" x14ac:dyDescent="0.25">
      <c r="A66" s="12" t="s">
        <v>75</v>
      </c>
      <c r="B66" s="11" t="e">
        <f t="shared" ca="1" si="17"/>
        <v>#REF!</v>
      </c>
      <c r="C66" s="11" t="e">
        <f t="shared" ca="1" si="9"/>
        <v>#REF!</v>
      </c>
      <c r="D66" s="11" t="e">
        <f t="shared" ca="1" si="10"/>
        <v>#REF!</v>
      </c>
      <c r="E66" t="e">
        <f t="shared" ca="1" si="11"/>
        <v>#REF!</v>
      </c>
      <c r="F66" t="e">
        <f t="shared" ca="1" si="12"/>
        <v>#REF!</v>
      </c>
      <c r="G66" s="1" t="e">
        <f t="shared" ca="1" si="13"/>
        <v>#REF!</v>
      </c>
      <c r="I66" s="11" t="e">
        <f t="shared" ca="1" si="14"/>
        <v>#REF!</v>
      </c>
      <c r="J66" s="11" t="e">
        <f t="shared" ca="1" si="15"/>
        <v>#REF!</v>
      </c>
      <c r="K66" s="1" t="e">
        <f t="shared" ca="1" si="16"/>
        <v>#REF!</v>
      </c>
    </row>
    <row r="67" spans="1:11" x14ac:dyDescent="0.25">
      <c r="A67" s="12" t="s">
        <v>76</v>
      </c>
      <c r="B67" s="11" t="e">
        <f t="shared" ca="1" si="17"/>
        <v>#REF!</v>
      </c>
      <c r="C67" s="11" t="e">
        <f t="shared" ca="1" si="9"/>
        <v>#REF!</v>
      </c>
      <c r="D67" s="11" t="e">
        <f t="shared" ca="1" si="10"/>
        <v>#REF!</v>
      </c>
      <c r="E67" t="e">
        <f t="shared" ca="1" si="11"/>
        <v>#REF!</v>
      </c>
      <c r="F67" t="e">
        <f t="shared" ca="1" si="12"/>
        <v>#REF!</v>
      </c>
      <c r="G67" s="1" t="e">
        <f t="shared" ca="1" si="13"/>
        <v>#REF!</v>
      </c>
      <c r="I67" s="11" t="e">
        <f t="shared" ca="1" si="14"/>
        <v>#REF!</v>
      </c>
      <c r="J67" s="11" t="e">
        <f t="shared" ca="1" si="15"/>
        <v>#REF!</v>
      </c>
      <c r="K67" s="1" t="e">
        <f t="shared" ca="1" si="16"/>
        <v>#REF!</v>
      </c>
    </row>
    <row r="68" spans="1:11" x14ac:dyDescent="0.25">
      <c r="A68" s="12" t="s">
        <v>77</v>
      </c>
      <c r="B68" s="11" t="e">
        <f t="shared" ca="1" si="17"/>
        <v>#REF!</v>
      </c>
      <c r="C68" s="11" t="e">
        <f t="shared" ca="1" si="9"/>
        <v>#REF!</v>
      </c>
      <c r="D68" s="11" t="e">
        <f t="shared" ca="1" si="10"/>
        <v>#REF!</v>
      </c>
      <c r="E68" t="e">
        <f t="shared" ca="1" si="11"/>
        <v>#REF!</v>
      </c>
      <c r="F68" t="e">
        <f t="shared" ca="1" si="12"/>
        <v>#REF!</v>
      </c>
      <c r="G68" s="1" t="e">
        <f t="shared" ca="1" si="13"/>
        <v>#REF!</v>
      </c>
      <c r="I68" s="11" t="e">
        <f t="shared" ca="1" si="14"/>
        <v>#REF!</v>
      </c>
      <c r="J68" s="11" t="e">
        <f t="shared" ca="1" si="15"/>
        <v>#REF!</v>
      </c>
      <c r="K68" s="1" t="e">
        <f t="shared" ca="1" si="16"/>
        <v>#REF!</v>
      </c>
    </row>
    <row r="69" spans="1:11" x14ac:dyDescent="0.25">
      <c r="A69" s="12" t="s">
        <v>78</v>
      </c>
      <c r="B69" s="11" t="e">
        <f t="shared" ca="1" si="17"/>
        <v>#REF!</v>
      </c>
      <c r="C69" s="11" t="e">
        <f t="shared" ca="1" si="9"/>
        <v>#REF!</v>
      </c>
      <c r="D69" s="11" t="e">
        <f t="shared" ca="1" si="10"/>
        <v>#REF!</v>
      </c>
      <c r="E69" t="e">
        <f t="shared" ca="1" si="11"/>
        <v>#REF!</v>
      </c>
      <c r="F69" t="e">
        <f t="shared" ca="1" si="12"/>
        <v>#REF!</v>
      </c>
      <c r="G69" s="1" t="e">
        <f t="shared" ca="1" si="13"/>
        <v>#REF!</v>
      </c>
      <c r="I69" s="11" t="e">
        <f t="shared" ca="1" si="14"/>
        <v>#REF!</v>
      </c>
      <c r="J69" s="11" t="e">
        <f t="shared" ca="1" si="15"/>
        <v>#REF!</v>
      </c>
      <c r="K69" s="1" t="e">
        <f t="shared" ca="1" si="16"/>
        <v>#REF!</v>
      </c>
    </row>
    <row r="70" spans="1:11" x14ac:dyDescent="0.25">
      <c r="A70" s="12" t="s">
        <v>79</v>
      </c>
      <c r="B70" s="11" t="e">
        <f t="shared" ca="1" si="17"/>
        <v>#REF!</v>
      </c>
      <c r="C70" s="11" t="e">
        <f t="shared" ca="1" si="9"/>
        <v>#REF!</v>
      </c>
      <c r="D70" s="11" t="e">
        <f t="shared" ca="1" si="10"/>
        <v>#REF!</v>
      </c>
      <c r="E70" t="e">
        <f t="shared" ca="1" si="11"/>
        <v>#REF!</v>
      </c>
      <c r="F70" t="e">
        <f t="shared" ca="1" si="12"/>
        <v>#REF!</v>
      </c>
      <c r="G70" s="1" t="e">
        <f t="shared" ca="1" si="13"/>
        <v>#REF!</v>
      </c>
      <c r="I70" s="11" t="e">
        <f t="shared" ca="1" si="14"/>
        <v>#REF!</v>
      </c>
      <c r="J70" s="11" t="e">
        <f t="shared" ca="1" si="15"/>
        <v>#REF!</v>
      </c>
      <c r="K70" s="1" t="e">
        <f t="shared" ca="1" si="16"/>
        <v>#REF!</v>
      </c>
    </row>
    <row r="71" spans="1:11" x14ac:dyDescent="0.25">
      <c r="A71" s="12" t="s">
        <v>80</v>
      </c>
      <c r="B71" s="11" t="e">
        <f t="shared" ref="B71:B79" ca="1" si="18">INDIRECT(A71&amp;"!D2",TRUE)</f>
        <v>#REF!</v>
      </c>
      <c r="C71" s="11" t="e">
        <f t="shared" ref="C71:C79" ca="1" si="19">INDIRECT(A71&amp;"!E2",TRUE)</f>
        <v>#REF!</v>
      </c>
      <c r="D71" s="11" t="e">
        <f t="shared" ref="D71:D79" ca="1" si="20">IF(B71&gt;C71,"JAMIE","MATT")</f>
        <v>#REF!</v>
      </c>
      <c r="E71" t="e">
        <f t="shared" ref="E71:E79" ca="1" si="21">INDIRECT(A71&amp;"!B1",TRUE)</f>
        <v>#REF!</v>
      </c>
      <c r="F71" t="e">
        <f t="shared" ref="F71:F79" ca="1" si="22">INDIRECT(A71&amp;"!C1",TRUE)</f>
        <v>#REF!</v>
      </c>
      <c r="G71" s="1" t="e">
        <f t="shared" ref="G71:G79" ca="1" si="23">ABS(B71-C71)</f>
        <v>#REF!</v>
      </c>
      <c r="I71" s="11" t="e">
        <f t="shared" ref="I71:J75" ca="1" si="24">I70+B71</f>
        <v>#REF!</v>
      </c>
      <c r="J71" s="11" t="e">
        <f t="shared" ca="1" si="24"/>
        <v>#REF!</v>
      </c>
      <c r="K71" s="1" t="e">
        <f t="shared" ref="K71:K79" ca="1" si="25">ABS(J71-I71)</f>
        <v>#REF!</v>
      </c>
    </row>
    <row r="72" spans="1:11" x14ac:dyDescent="0.25">
      <c r="A72" s="12" t="s">
        <v>81</v>
      </c>
      <c r="B72" s="11" t="e">
        <f t="shared" ca="1" si="18"/>
        <v>#REF!</v>
      </c>
      <c r="C72" s="11" t="e">
        <f t="shared" ca="1" si="19"/>
        <v>#REF!</v>
      </c>
      <c r="D72" s="11" t="e">
        <f t="shared" ca="1" si="20"/>
        <v>#REF!</v>
      </c>
      <c r="E72" t="e">
        <f t="shared" ca="1" si="21"/>
        <v>#REF!</v>
      </c>
      <c r="F72" t="e">
        <f t="shared" ca="1" si="22"/>
        <v>#REF!</v>
      </c>
      <c r="G72" s="1" t="e">
        <f t="shared" ca="1" si="23"/>
        <v>#REF!</v>
      </c>
      <c r="I72" s="11" t="e">
        <f t="shared" ca="1" si="24"/>
        <v>#REF!</v>
      </c>
      <c r="J72" s="11" t="e">
        <f t="shared" ca="1" si="24"/>
        <v>#REF!</v>
      </c>
      <c r="K72" s="1" t="e">
        <f t="shared" ca="1" si="25"/>
        <v>#REF!</v>
      </c>
    </row>
    <row r="73" spans="1:11" x14ac:dyDescent="0.25">
      <c r="A73" s="12" t="s">
        <v>82</v>
      </c>
      <c r="B73" s="11" t="e">
        <f t="shared" ca="1" si="18"/>
        <v>#REF!</v>
      </c>
      <c r="C73" s="11" t="e">
        <f t="shared" ca="1" si="19"/>
        <v>#REF!</v>
      </c>
      <c r="D73" s="11" t="e">
        <f t="shared" ca="1" si="20"/>
        <v>#REF!</v>
      </c>
      <c r="E73" t="e">
        <f t="shared" ca="1" si="21"/>
        <v>#REF!</v>
      </c>
      <c r="F73" t="e">
        <f t="shared" ca="1" si="22"/>
        <v>#REF!</v>
      </c>
      <c r="G73" s="1" t="e">
        <f t="shared" ca="1" si="23"/>
        <v>#REF!</v>
      </c>
      <c r="I73" s="11" t="e">
        <f t="shared" ca="1" si="24"/>
        <v>#REF!</v>
      </c>
      <c r="J73" s="11" t="e">
        <f t="shared" ca="1" si="24"/>
        <v>#REF!</v>
      </c>
      <c r="K73" s="1" t="e">
        <f t="shared" ca="1" si="25"/>
        <v>#REF!</v>
      </c>
    </row>
    <row r="74" spans="1:11" x14ac:dyDescent="0.25">
      <c r="A74" s="12" t="s">
        <v>83</v>
      </c>
      <c r="B74" s="11" t="e">
        <f t="shared" ca="1" si="18"/>
        <v>#REF!</v>
      </c>
      <c r="C74" s="11" t="e">
        <f t="shared" ca="1" si="19"/>
        <v>#REF!</v>
      </c>
      <c r="D74" s="11" t="e">
        <f t="shared" ca="1" si="20"/>
        <v>#REF!</v>
      </c>
      <c r="E74" t="e">
        <f t="shared" ca="1" si="21"/>
        <v>#REF!</v>
      </c>
      <c r="F74" t="e">
        <f t="shared" ca="1" si="22"/>
        <v>#REF!</v>
      </c>
      <c r="G74" s="1" t="e">
        <f t="shared" ca="1" si="23"/>
        <v>#REF!</v>
      </c>
      <c r="I74" s="11" t="e">
        <f t="shared" ca="1" si="24"/>
        <v>#REF!</v>
      </c>
      <c r="J74" s="11" t="e">
        <f t="shared" ca="1" si="24"/>
        <v>#REF!</v>
      </c>
      <c r="K74" s="1" t="e">
        <f t="shared" ca="1" si="25"/>
        <v>#REF!</v>
      </c>
    </row>
    <row r="75" spans="1:11" x14ac:dyDescent="0.25">
      <c r="A75" s="12" t="s">
        <v>84</v>
      </c>
      <c r="B75" s="11" t="e">
        <f t="shared" ca="1" si="18"/>
        <v>#REF!</v>
      </c>
      <c r="C75" s="11" t="e">
        <f t="shared" ca="1" si="19"/>
        <v>#REF!</v>
      </c>
      <c r="D75" s="11" t="e">
        <f t="shared" ca="1" si="20"/>
        <v>#REF!</v>
      </c>
      <c r="E75" t="e">
        <f t="shared" ca="1" si="21"/>
        <v>#REF!</v>
      </c>
      <c r="F75" t="e">
        <f t="shared" ca="1" si="22"/>
        <v>#REF!</v>
      </c>
      <c r="G75" s="1" t="e">
        <f t="shared" ca="1" si="23"/>
        <v>#REF!</v>
      </c>
      <c r="I75" s="11" t="e">
        <f t="shared" ca="1" si="24"/>
        <v>#REF!</v>
      </c>
      <c r="J75" s="11" t="e">
        <f t="shared" ca="1" si="24"/>
        <v>#REF!</v>
      </c>
      <c r="K75" s="1" t="e">
        <f t="shared" ca="1" si="25"/>
        <v>#REF!</v>
      </c>
    </row>
    <row r="76" spans="1:11" x14ac:dyDescent="0.25">
      <c r="A76" s="12" t="s">
        <v>85</v>
      </c>
      <c r="B76" s="11" t="e">
        <f t="shared" ca="1" si="18"/>
        <v>#REF!</v>
      </c>
      <c r="C76" s="11" t="e">
        <f t="shared" ca="1" si="19"/>
        <v>#REF!</v>
      </c>
      <c r="D76" s="11" t="e">
        <f t="shared" ca="1" si="20"/>
        <v>#REF!</v>
      </c>
      <c r="E76" t="e">
        <f t="shared" ca="1" si="21"/>
        <v>#REF!</v>
      </c>
      <c r="F76" t="e">
        <f t="shared" ca="1" si="22"/>
        <v>#REF!</v>
      </c>
      <c r="G76" s="1" t="e">
        <f t="shared" ca="1" si="23"/>
        <v>#REF!</v>
      </c>
      <c r="I76" s="11" t="e">
        <f t="shared" ref="I76:J79" ca="1" si="26">I75+B76</f>
        <v>#REF!</v>
      </c>
      <c r="J76" s="11" t="e">
        <f t="shared" ca="1" si="26"/>
        <v>#REF!</v>
      </c>
      <c r="K76" s="1" t="e">
        <f t="shared" ca="1" si="25"/>
        <v>#REF!</v>
      </c>
    </row>
    <row r="77" spans="1:11" x14ac:dyDescent="0.25">
      <c r="A77" s="12" t="s">
        <v>86</v>
      </c>
      <c r="B77" s="11" t="e">
        <f t="shared" ca="1" si="18"/>
        <v>#REF!</v>
      </c>
      <c r="C77" s="11" t="e">
        <f t="shared" ca="1" si="19"/>
        <v>#REF!</v>
      </c>
      <c r="D77" s="11" t="e">
        <f t="shared" ca="1" si="20"/>
        <v>#REF!</v>
      </c>
      <c r="E77" t="e">
        <f t="shared" ca="1" si="21"/>
        <v>#REF!</v>
      </c>
      <c r="F77" t="e">
        <f t="shared" ca="1" si="22"/>
        <v>#REF!</v>
      </c>
      <c r="G77" s="1" t="e">
        <f t="shared" ca="1" si="23"/>
        <v>#REF!</v>
      </c>
      <c r="I77" s="11" t="e">
        <f t="shared" ca="1" si="26"/>
        <v>#REF!</v>
      </c>
      <c r="J77" s="11" t="e">
        <f t="shared" ca="1" si="26"/>
        <v>#REF!</v>
      </c>
      <c r="K77" s="1" t="e">
        <f t="shared" ca="1" si="25"/>
        <v>#REF!</v>
      </c>
    </row>
    <row r="78" spans="1:11" x14ac:dyDescent="0.25">
      <c r="A78" s="12" t="s">
        <v>87</v>
      </c>
      <c r="B78" s="11" t="e">
        <f t="shared" ca="1" si="18"/>
        <v>#REF!</v>
      </c>
      <c r="C78" s="11" t="e">
        <f t="shared" ca="1" si="19"/>
        <v>#REF!</v>
      </c>
      <c r="D78" s="11" t="e">
        <f t="shared" ca="1" si="20"/>
        <v>#REF!</v>
      </c>
      <c r="E78" t="e">
        <f t="shared" ca="1" si="21"/>
        <v>#REF!</v>
      </c>
      <c r="F78" t="e">
        <f t="shared" ca="1" si="22"/>
        <v>#REF!</v>
      </c>
      <c r="G78" s="1" t="e">
        <f t="shared" ca="1" si="23"/>
        <v>#REF!</v>
      </c>
      <c r="I78" s="11" t="e">
        <f t="shared" ca="1" si="26"/>
        <v>#REF!</v>
      </c>
      <c r="J78" s="11" t="e">
        <f t="shared" ca="1" si="26"/>
        <v>#REF!</v>
      </c>
      <c r="K78" s="1" t="e">
        <f t="shared" ca="1" si="25"/>
        <v>#REF!</v>
      </c>
    </row>
    <row r="79" spans="1:11" x14ac:dyDescent="0.25">
      <c r="A79" s="12" t="s">
        <v>88</v>
      </c>
      <c r="B79" s="11" t="e">
        <f t="shared" ca="1" si="18"/>
        <v>#REF!</v>
      </c>
      <c r="C79" s="11" t="e">
        <f t="shared" ca="1" si="19"/>
        <v>#REF!</v>
      </c>
      <c r="D79" s="11" t="e">
        <f t="shared" ca="1" si="20"/>
        <v>#REF!</v>
      </c>
      <c r="E79" t="e">
        <f t="shared" ca="1" si="21"/>
        <v>#REF!</v>
      </c>
      <c r="F79" t="e">
        <f t="shared" ca="1" si="22"/>
        <v>#REF!</v>
      </c>
      <c r="G79" s="1" t="e">
        <f t="shared" ca="1" si="23"/>
        <v>#REF!</v>
      </c>
      <c r="I79" s="11" t="e">
        <f t="shared" ca="1" si="26"/>
        <v>#REF!</v>
      </c>
      <c r="J79" s="11" t="e">
        <f t="shared" ca="1" si="26"/>
        <v>#REF!</v>
      </c>
      <c r="K79" s="1" t="e">
        <f t="shared" ca="1" si="25"/>
        <v>#REF!</v>
      </c>
    </row>
  </sheetData>
  <conditionalFormatting sqref="B10:D79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{5659F900-2206-452D-9903-8ED109DAFD59}</x14:id>
        </ext>
      </extLst>
    </cfRule>
  </conditionalFormatting>
  <conditionalFormatting sqref="I10:J7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{C867807F-9C01-4CA6-B123-6DE08F708B23}</x14:id>
        </ext>
      </extLst>
    </cfRule>
  </conditionalFormatting>
  <conditionalFormatting sqref="G10:G79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{681B3154-1D6F-47A3-BEFD-7897A91F17A9}</x14:id>
        </ext>
      </extLst>
    </cfRule>
  </conditionalFormatting>
  <conditionalFormatting sqref="E10:E79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0:F79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0:K7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{6C91A9D2-1CDE-4EEA-9A6E-84D92ECC1027}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59F900-2206-452D-9903-8ED109DAFD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B10:D79</xm:sqref>
        </x14:conditionalFormatting>
        <x14:conditionalFormatting xmlns:xm="http://schemas.microsoft.com/office/excel/2006/main">
          <x14:cfRule type="dataBar" id="{C867807F-9C01-4CA6-B123-6DE08F708B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I10:J79</xm:sqref>
        </x14:conditionalFormatting>
        <x14:conditionalFormatting xmlns:xm="http://schemas.microsoft.com/office/excel/2006/main">
          <x14:cfRule type="dataBar" id="{681B3154-1D6F-47A3-BEFD-7897A91F1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G10:G79</xm:sqref>
        </x14:conditionalFormatting>
        <x14:conditionalFormatting xmlns:xm="http://schemas.microsoft.com/office/excel/2006/main">
          <x14:cfRule type="dataBar" id="{6C91A9D2-1CDE-4EEA-9A6E-84D92ECC102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K10:K79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00"/>
  <sheetViews>
    <sheetView zoomScale="90" zoomScaleNormal="90" workbookViewId="0">
      <selection activeCell="N18" sqref="N18"/>
    </sheetView>
  </sheetViews>
  <sheetFormatPr defaultRowHeight="15" x14ac:dyDescent="0.25"/>
  <cols>
    <col min="1" max="1" width="20" style="2" bestFit="1" customWidth="1"/>
    <col min="2" max="2" width="13.5703125" style="4" bestFit="1" customWidth="1"/>
    <col min="3" max="3" width="13.140625" style="4" bestFit="1" customWidth="1"/>
    <col min="4" max="4" width="13.140625" style="4" customWidth="1"/>
    <col min="5" max="5" width="40.7109375" style="2" customWidth="1"/>
    <col min="6" max="6" width="8.42578125" style="26" customWidth="1"/>
    <col min="7" max="7" width="40.7109375" style="2" customWidth="1"/>
    <col min="8" max="8" width="9.140625" style="2"/>
    <col min="9" max="9" width="25.42578125" style="2" bestFit="1" customWidth="1"/>
    <col min="10" max="10" width="16" style="2" bestFit="1" customWidth="1"/>
    <col min="11" max="12" width="11.42578125" style="2" bestFit="1" customWidth="1"/>
    <col min="13" max="14" width="12.28515625" style="4" customWidth="1"/>
    <col min="15" max="16384" width="9.140625" style="2"/>
  </cols>
  <sheetData>
    <row r="1" spans="1:14" s="5" customFormat="1" ht="51" customHeight="1" thickBot="1" x14ac:dyDescent="0.3">
      <c r="A1" s="34"/>
      <c r="B1" s="5">
        <f>COUNTIF(B3:B35,"&gt;0")</f>
        <v>4</v>
      </c>
      <c r="C1" s="5">
        <f>COUNTIF(C3:C35,"&gt;0")</f>
        <v>0</v>
      </c>
      <c r="D1" s="23"/>
      <c r="E1" s="20" t="str">
        <f>B2</f>
        <v>JAMIE</v>
      </c>
      <c r="F1" s="28"/>
      <c r="G1" s="21" t="str">
        <f>C2</f>
        <v>MATT</v>
      </c>
      <c r="I1" s="22" t="str">
        <f>"LEAD: "&amp; IF(E2&gt;G2,"JAMIE","MATT")</f>
        <v>LEAD: JAMIE</v>
      </c>
    </row>
    <row r="2" spans="1:14" s="5" customFormat="1" ht="51" customHeight="1" thickBot="1" x14ac:dyDescent="0.3">
      <c r="A2" s="31" t="s">
        <v>6</v>
      </c>
      <c r="B2" s="32" t="s">
        <v>0</v>
      </c>
      <c r="C2" s="30" t="s">
        <v>1</v>
      </c>
      <c r="D2" s="29"/>
      <c r="E2" s="20">
        <f>SUM(B3:B35)</f>
        <v>2000</v>
      </c>
      <c r="F2" s="28"/>
      <c r="G2" s="21">
        <f>SUM(C3:C35)</f>
        <v>0</v>
      </c>
      <c r="I2" s="22">
        <f>ABS(E2-G2)</f>
        <v>2000</v>
      </c>
      <c r="J2" s="19" t="e">
        <f>MAX(E2:G2)/MIN(E2:G2)</f>
        <v>#DIV/0!</v>
      </c>
    </row>
    <row r="3" spans="1:14" ht="20.25" customHeight="1" x14ac:dyDescent="0.25">
      <c r="A3" s="33">
        <v>1</v>
      </c>
      <c r="B3" s="35">
        <v>200</v>
      </c>
      <c r="C3" s="36"/>
      <c r="D3" s="37"/>
      <c r="E3" s="38"/>
      <c r="F3" s="38"/>
      <c r="G3" s="39"/>
      <c r="H3" s="40"/>
      <c r="I3" s="40"/>
      <c r="J3" s="26"/>
      <c r="K3" s="9" t="s">
        <v>2</v>
      </c>
      <c r="L3" s="9" t="s">
        <v>3</v>
      </c>
      <c r="M3" s="10" t="s">
        <v>4</v>
      </c>
      <c r="N3" s="3" t="s">
        <v>5</v>
      </c>
    </row>
    <row r="4" spans="1:14" ht="20.25" customHeight="1" x14ac:dyDescent="0.25">
      <c r="A4" s="33">
        <v>2</v>
      </c>
      <c r="B4" s="35">
        <v>400</v>
      </c>
      <c r="C4" s="36"/>
      <c r="D4" s="41"/>
      <c r="E4" s="42"/>
      <c r="F4" s="42"/>
      <c r="G4" s="39"/>
      <c r="H4" s="40"/>
      <c r="I4" s="40"/>
      <c r="J4" s="26"/>
      <c r="K4" s="7">
        <v>200</v>
      </c>
      <c r="L4" s="7">
        <v>400</v>
      </c>
      <c r="M4" s="3"/>
      <c r="N4" s="3"/>
    </row>
    <row r="5" spans="1:14" ht="20.25" customHeight="1" x14ac:dyDescent="0.25">
      <c r="A5" s="33">
        <v>3</v>
      </c>
      <c r="B5" s="35">
        <v>600</v>
      </c>
      <c r="C5" s="36"/>
      <c r="D5" s="43"/>
      <c r="E5" s="42"/>
      <c r="F5" s="42"/>
      <c r="G5" s="39"/>
      <c r="H5" s="40"/>
      <c r="I5" s="40"/>
      <c r="J5" s="26"/>
      <c r="K5" s="7">
        <v>400</v>
      </c>
      <c r="L5" s="7">
        <v>800</v>
      </c>
      <c r="M5" s="3"/>
      <c r="N5" s="3"/>
    </row>
    <row r="6" spans="1:14" ht="20.25" customHeight="1" x14ac:dyDescent="0.25">
      <c r="A6" s="33">
        <v>4</v>
      </c>
      <c r="B6" s="35">
        <v>800</v>
      </c>
      <c r="C6" s="36"/>
      <c r="D6" s="43"/>
      <c r="E6" s="38"/>
      <c r="F6" s="38"/>
      <c r="G6" s="39"/>
      <c r="H6" s="40"/>
      <c r="I6" s="40"/>
      <c r="J6" s="26"/>
      <c r="K6" s="7">
        <v>600</v>
      </c>
      <c r="L6" s="7">
        <v>1200</v>
      </c>
      <c r="M6" s="3"/>
      <c r="N6" s="3"/>
    </row>
    <row r="7" spans="1:14" ht="20.25" customHeight="1" x14ac:dyDescent="0.25">
      <c r="A7" s="33">
        <v>5</v>
      </c>
      <c r="B7" s="35"/>
      <c r="C7" s="36"/>
      <c r="D7" s="43"/>
      <c r="E7" s="44"/>
      <c r="F7" s="44"/>
      <c r="G7" s="39"/>
      <c r="H7" s="40"/>
      <c r="I7" s="40"/>
      <c r="J7" s="26"/>
      <c r="K7" s="7">
        <v>800</v>
      </c>
      <c r="L7" s="7">
        <v>1600</v>
      </c>
      <c r="M7" s="3"/>
      <c r="N7" s="3"/>
    </row>
    <row r="8" spans="1:14" ht="20.25" customHeight="1" x14ac:dyDescent="0.25">
      <c r="A8" s="33">
        <v>6</v>
      </c>
      <c r="B8" s="35"/>
      <c r="C8" s="36"/>
      <c r="D8" s="43"/>
      <c r="E8" s="39"/>
      <c r="F8" s="39"/>
      <c r="G8" s="39"/>
      <c r="H8" s="40"/>
      <c r="I8" s="40"/>
      <c r="J8" s="26"/>
      <c r="K8" s="7">
        <v>1000</v>
      </c>
      <c r="L8" s="7">
        <v>2000</v>
      </c>
      <c r="M8" s="3"/>
      <c r="N8" s="3"/>
    </row>
    <row r="9" spans="1:14" ht="20.25" customHeight="1" x14ac:dyDescent="0.25">
      <c r="A9" s="33">
        <v>7</v>
      </c>
      <c r="B9" s="35"/>
      <c r="C9" s="36"/>
      <c r="D9" s="43"/>
      <c r="E9" s="39"/>
      <c r="F9" s="39"/>
      <c r="G9" s="39"/>
      <c r="H9" s="40"/>
      <c r="I9" s="40"/>
      <c r="J9" s="26"/>
      <c r="K9" s="6"/>
      <c r="L9" s="6"/>
      <c r="M9" s="3"/>
      <c r="N9" s="3"/>
    </row>
    <row r="10" spans="1:14" ht="20.25" customHeight="1" x14ac:dyDescent="0.25">
      <c r="A10" s="33">
        <v>8</v>
      </c>
      <c r="B10" s="35"/>
      <c r="C10" s="36"/>
      <c r="D10" s="43"/>
      <c r="E10" s="39"/>
      <c r="F10" s="39"/>
      <c r="G10" s="39"/>
      <c r="H10" s="40"/>
      <c r="I10" s="40"/>
      <c r="J10" s="26"/>
    </row>
    <row r="11" spans="1:14" ht="20.25" customHeight="1" x14ac:dyDescent="0.25">
      <c r="A11" s="33">
        <v>9</v>
      </c>
      <c r="B11" s="35"/>
      <c r="C11" s="36"/>
      <c r="D11" s="43"/>
      <c r="E11" s="39"/>
      <c r="F11" s="39"/>
      <c r="G11" s="39"/>
      <c r="H11" s="40"/>
      <c r="I11" s="40"/>
      <c r="J11" s="26"/>
      <c r="K11" s="2" t="s">
        <v>2</v>
      </c>
    </row>
    <row r="12" spans="1:14" ht="20.25" customHeight="1" x14ac:dyDescent="0.25">
      <c r="A12" s="33">
        <v>10</v>
      </c>
      <c r="B12" s="35"/>
      <c r="C12" s="36"/>
      <c r="D12" s="43"/>
      <c r="E12" s="39"/>
      <c r="F12" s="39"/>
      <c r="G12" s="39"/>
      <c r="H12" s="40"/>
      <c r="I12" s="40"/>
      <c r="J12" s="26"/>
      <c r="K12" s="2" t="s">
        <v>3</v>
      </c>
    </row>
    <row r="13" spans="1:14" ht="20.25" customHeight="1" x14ac:dyDescent="0.25">
      <c r="A13" s="33">
        <v>11</v>
      </c>
      <c r="B13" s="35"/>
      <c r="C13" s="36"/>
      <c r="D13" s="43"/>
      <c r="E13" s="39"/>
      <c r="F13" s="39"/>
      <c r="G13" s="39"/>
      <c r="H13" s="45"/>
      <c r="I13" s="40"/>
      <c r="J13" s="26"/>
    </row>
    <row r="14" spans="1:14" ht="20.25" customHeight="1" x14ac:dyDescent="0.25">
      <c r="A14" s="33">
        <v>12</v>
      </c>
      <c r="B14" s="35"/>
      <c r="C14" s="36"/>
      <c r="D14" s="43"/>
      <c r="E14" s="39"/>
      <c r="F14" s="39"/>
      <c r="G14" s="44"/>
      <c r="H14" s="40"/>
      <c r="I14" s="40"/>
      <c r="J14" s="26"/>
    </row>
    <row r="15" spans="1:14" ht="20.25" customHeight="1" x14ac:dyDescent="0.25">
      <c r="A15" s="33">
        <v>13</v>
      </c>
      <c r="B15" s="35"/>
      <c r="C15" s="36"/>
      <c r="D15" s="43"/>
      <c r="E15" s="39"/>
      <c r="F15" s="39"/>
      <c r="G15" s="44"/>
      <c r="H15" s="40"/>
      <c r="I15" s="40"/>
      <c r="J15" s="26"/>
    </row>
    <row r="16" spans="1:14" ht="20.25" customHeight="1" x14ac:dyDescent="0.25">
      <c r="A16" s="33">
        <v>14</v>
      </c>
      <c r="B16" s="35"/>
      <c r="C16" s="36"/>
      <c r="D16" s="43"/>
      <c r="E16" s="39"/>
      <c r="F16" s="39"/>
      <c r="G16" s="44"/>
      <c r="H16" s="40"/>
      <c r="I16" s="40"/>
      <c r="J16" s="26"/>
    </row>
    <row r="17" spans="1:10" ht="20.25" customHeight="1" x14ac:dyDescent="0.25">
      <c r="A17" s="33">
        <v>15</v>
      </c>
      <c r="B17" s="35"/>
      <c r="C17" s="36"/>
      <c r="D17" s="43"/>
      <c r="E17" s="39"/>
      <c r="F17" s="39"/>
      <c r="G17" s="39"/>
      <c r="H17" s="40"/>
      <c r="I17" s="40"/>
      <c r="J17" s="26"/>
    </row>
    <row r="18" spans="1:10" ht="20.25" customHeight="1" x14ac:dyDescent="0.25">
      <c r="A18" s="33">
        <v>16</v>
      </c>
      <c r="B18" s="35"/>
      <c r="C18" s="36"/>
      <c r="D18" s="43"/>
      <c r="E18" s="39"/>
      <c r="F18" s="39"/>
      <c r="G18" s="39"/>
      <c r="H18" s="40"/>
      <c r="I18" s="40"/>
      <c r="J18" s="26"/>
    </row>
    <row r="19" spans="1:10" ht="20.25" customHeight="1" x14ac:dyDescent="0.25">
      <c r="A19" s="33">
        <v>17</v>
      </c>
      <c r="B19" s="35"/>
      <c r="C19" s="36"/>
      <c r="D19" s="43"/>
      <c r="E19" s="39"/>
      <c r="F19" s="39"/>
      <c r="G19" s="39"/>
      <c r="H19" s="40"/>
      <c r="I19" s="40"/>
      <c r="J19" s="26"/>
    </row>
    <row r="20" spans="1:10" ht="20.25" customHeight="1" x14ac:dyDescent="0.25">
      <c r="A20" s="33">
        <v>18</v>
      </c>
      <c r="B20" s="35"/>
      <c r="C20" s="36"/>
      <c r="D20" s="24"/>
      <c r="E20" s="27"/>
      <c r="F20" s="27"/>
      <c r="G20" s="27"/>
      <c r="H20" s="26"/>
      <c r="I20" s="26"/>
      <c r="J20" s="26"/>
    </row>
    <row r="21" spans="1:10" ht="20.25" customHeight="1" x14ac:dyDescent="0.25">
      <c r="A21" s="33">
        <v>19</v>
      </c>
      <c r="B21" s="35"/>
      <c r="C21" s="36"/>
      <c r="D21" s="24"/>
      <c r="E21" s="27"/>
      <c r="F21" s="27"/>
      <c r="G21" s="27"/>
      <c r="H21" s="26"/>
      <c r="I21" s="26"/>
      <c r="J21" s="26"/>
    </row>
    <row r="22" spans="1:10" ht="20.25" customHeight="1" x14ac:dyDescent="0.25">
      <c r="A22" s="33">
        <v>20</v>
      </c>
      <c r="B22" s="35"/>
      <c r="C22" s="36"/>
      <c r="D22" s="24"/>
      <c r="E22" s="27"/>
      <c r="F22" s="27"/>
      <c r="G22" s="27"/>
      <c r="H22" s="26"/>
      <c r="I22" s="26"/>
      <c r="J22" s="26"/>
    </row>
    <row r="23" spans="1:10" ht="20.25" customHeight="1" x14ac:dyDescent="0.25">
      <c r="A23" s="33">
        <v>21</v>
      </c>
      <c r="B23" s="35"/>
      <c r="C23" s="36"/>
      <c r="D23" s="24"/>
      <c r="E23" s="27"/>
      <c r="F23" s="27"/>
      <c r="G23" s="27"/>
      <c r="H23" s="26"/>
      <c r="I23" s="26"/>
      <c r="J23" s="26"/>
    </row>
    <row r="24" spans="1:10" ht="20.25" customHeight="1" x14ac:dyDescent="0.25">
      <c r="A24" s="33">
        <v>22</v>
      </c>
      <c r="B24" s="35"/>
      <c r="C24" s="36"/>
      <c r="D24" s="24"/>
      <c r="E24" s="27"/>
      <c r="F24" s="27"/>
      <c r="G24" s="27"/>
      <c r="H24" s="26"/>
      <c r="I24" s="26"/>
      <c r="J24" s="26"/>
    </row>
    <row r="25" spans="1:10" ht="20.25" customHeight="1" x14ac:dyDescent="0.25">
      <c r="A25" s="33">
        <v>23</v>
      </c>
      <c r="B25" s="35"/>
      <c r="C25" s="36"/>
      <c r="D25" s="24"/>
      <c r="E25" s="27"/>
      <c r="F25" s="27"/>
      <c r="G25" s="27"/>
      <c r="H25" s="26"/>
      <c r="I25" s="26"/>
      <c r="J25" s="26"/>
    </row>
    <row r="26" spans="1:10" ht="20.25" customHeight="1" x14ac:dyDescent="0.25">
      <c r="A26" s="33">
        <v>24</v>
      </c>
      <c r="B26" s="35"/>
      <c r="C26" s="36"/>
      <c r="D26" s="24"/>
      <c r="E26" s="27"/>
      <c r="F26" s="27"/>
      <c r="G26" s="27"/>
      <c r="H26" s="26"/>
      <c r="I26" s="26"/>
      <c r="J26" s="26"/>
    </row>
    <row r="27" spans="1:10" ht="20.25" customHeight="1" x14ac:dyDescent="0.25">
      <c r="A27" s="33">
        <v>25</v>
      </c>
      <c r="B27" s="35"/>
      <c r="C27" s="36"/>
      <c r="D27" s="24"/>
      <c r="E27" s="27"/>
      <c r="F27" s="27"/>
      <c r="G27" s="27"/>
      <c r="H27" s="26"/>
      <c r="I27" s="26"/>
      <c r="J27" s="26"/>
    </row>
    <row r="28" spans="1:10" ht="20.25" customHeight="1" x14ac:dyDescent="0.25">
      <c r="A28" s="33">
        <v>26</v>
      </c>
      <c r="B28" s="35"/>
      <c r="C28" s="36"/>
      <c r="D28" s="24"/>
      <c r="E28" s="27"/>
      <c r="F28" s="27"/>
      <c r="G28" s="27"/>
      <c r="H28" s="26"/>
      <c r="I28" s="26"/>
      <c r="J28" s="26"/>
    </row>
    <row r="29" spans="1:10" ht="20.25" customHeight="1" x14ac:dyDescent="0.25">
      <c r="A29" s="33">
        <v>27</v>
      </c>
      <c r="B29" s="35"/>
      <c r="C29" s="36"/>
      <c r="D29" s="24"/>
      <c r="E29" s="27"/>
      <c r="F29" s="27"/>
      <c r="G29" s="27"/>
      <c r="H29" s="26"/>
      <c r="I29" s="26"/>
      <c r="J29" s="26"/>
    </row>
    <row r="30" spans="1:10" ht="20.25" customHeight="1" x14ac:dyDescent="0.25">
      <c r="A30" s="33">
        <v>28</v>
      </c>
      <c r="B30" s="35"/>
      <c r="C30" s="36"/>
      <c r="D30" s="24"/>
      <c r="E30" s="27"/>
      <c r="F30" s="27"/>
      <c r="G30" s="27"/>
      <c r="H30" s="26"/>
      <c r="I30" s="26"/>
      <c r="J30" s="26"/>
    </row>
    <row r="31" spans="1:10" ht="20.25" customHeight="1" x14ac:dyDescent="0.25">
      <c r="A31" s="33">
        <v>29</v>
      </c>
      <c r="B31" s="35"/>
      <c r="C31" s="36"/>
      <c r="D31" s="24"/>
      <c r="E31" s="27"/>
      <c r="F31" s="27"/>
      <c r="G31" s="27"/>
      <c r="H31" s="26"/>
      <c r="I31" s="26"/>
      <c r="J31" s="26"/>
    </row>
    <row r="32" spans="1:10" ht="20.25" customHeight="1" x14ac:dyDescent="0.25">
      <c r="A32" s="33">
        <v>30</v>
      </c>
      <c r="B32" s="35"/>
      <c r="C32" s="36"/>
      <c r="D32" s="24"/>
      <c r="E32" s="8"/>
      <c r="F32" s="27"/>
      <c r="G32" s="8"/>
    </row>
    <row r="33" spans="1:7" ht="20.25" customHeight="1" x14ac:dyDescent="0.25">
      <c r="A33" s="33">
        <v>31</v>
      </c>
      <c r="B33" s="35"/>
      <c r="C33" s="36"/>
      <c r="D33" s="24"/>
      <c r="E33" s="8"/>
      <c r="F33" s="27"/>
      <c r="G33" s="8"/>
    </row>
    <row r="34" spans="1:7" ht="20.25" customHeight="1" x14ac:dyDescent="0.25">
      <c r="A34" s="33">
        <v>32</v>
      </c>
      <c r="B34" s="35"/>
      <c r="C34" s="36"/>
      <c r="D34" s="24"/>
      <c r="E34" s="8"/>
      <c r="F34" s="27"/>
      <c r="G34" s="8"/>
    </row>
    <row r="35" spans="1:7" ht="20.25" customHeight="1" x14ac:dyDescent="0.25">
      <c r="A35" s="33">
        <v>33</v>
      </c>
      <c r="B35" s="35"/>
      <c r="C35" s="36"/>
      <c r="D35" s="24"/>
      <c r="E35" s="8"/>
      <c r="F35" s="27"/>
      <c r="G35" s="8"/>
    </row>
    <row r="36" spans="1:7" ht="20.25" customHeight="1" x14ac:dyDescent="0.25">
      <c r="A36" s="33">
        <v>34</v>
      </c>
      <c r="B36" s="35"/>
      <c r="C36" s="36"/>
      <c r="D36" s="25"/>
    </row>
    <row r="37" spans="1:7" ht="20.25" customHeight="1" x14ac:dyDescent="0.25">
      <c r="A37" s="33">
        <v>35</v>
      </c>
      <c r="B37" s="35"/>
      <c r="C37" s="36"/>
      <c r="D37" s="25"/>
    </row>
    <row r="38" spans="1:7" ht="20.25" customHeight="1" x14ac:dyDescent="0.25">
      <c r="A38" s="33">
        <v>36</v>
      </c>
      <c r="B38" s="35"/>
      <c r="C38" s="36"/>
      <c r="D38" s="25"/>
    </row>
    <row r="39" spans="1:7" ht="20.25" customHeight="1" x14ac:dyDescent="0.25">
      <c r="A39" s="33">
        <v>37</v>
      </c>
      <c r="B39" s="35"/>
      <c r="C39" s="36"/>
      <c r="D39" s="25"/>
    </row>
    <row r="40" spans="1:7" ht="20.25" customHeight="1" x14ac:dyDescent="0.25">
      <c r="A40" s="33">
        <v>38</v>
      </c>
      <c r="B40" s="35"/>
      <c r="C40" s="36"/>
      <c r="D40" s="25"/>
    </row>
    <row r="41" spans="1:7" ht="20.25" customHeight="1" x14ac:dyDescent="0.25">
      <c r="A41" s="33">
        <v>39</v>
      </c>
      <c r="B41" s="35"/>
      <c r="C41" s="36"/>
      <c r="D41" s="25"/>
    </row>
    <row r="42" spans="1:7" ht="20.25" customHeight="1" x14ac:dyDescent="0.25">
      <c r="A42" s="33">
        <v>40</v>
      </c>
      <c r="B42" s="35"/>
      <c r="C42" s="36"/>
      <c r="D42" s="25"/>
    </row>
    <row r="43" spans="1:7" ht="20.25" customHeight="1" x14ac:dyDescent="0.25">
      <c r="A43" s="33">
        <v>41</v>
      </c>
      <c r="B43" s="35"/>
      <c r="C43" s="36"/>
      <c r="D43" s="25"/>
    </row>
    <row r="44" spans="1:7" ht="20.25" customHeight="1" x14ac:dyDescent="0.25">
      <c r="A44" s="33">
        <v>42</v>
      </c>
      <c r="B44" s="35"/>
      <c r="C44" s="36"/>
      <c r="D44" s="25"/>
    </row>
    <row r="45" spans="1:7" ht="20.25" customHeight="1" x14ac:dyDescent="0.25">
      <c r="A45" s="33">
        <v>43</v>
      </c>
      <c r="B45" s="35"/>
      <c r="C45" s="36"/>
      <c r="D45" s="25"/>
    </row>
    <row r="46" spans="1:7" ht="20.25" customHeight="1" x14ac:dyDescent="0.25">
      <c r="A46" s="33">
        <v>44</v>
      </c>
      <c r="B46" s="35"/>
      <c r="C46" s="36"/>
      <c r="D46" s="25"/>
    </row>
    <row r="47" spans="1:7" ht="20.25" customHeight="1" x14ac:dyDescent="0.25">
      <c r="A47" s="33">
        <v>45</v>
      </c>
      <c r="B47" s="35"/>
      <c r="C47" s="36"/>
      <c r="D47" s="25"/>
    </row>
    <row r="48" spans="1:7" ht="20.25" customHeight="1" x14ac:dyDescent="0.25">
      <c r="A48" s="33">
        <v>46</v>
      </c>
      <c r="B48" s="35"/>
      <c r="C48" s="36"/>
      <c r="D48" s="25"/>
    </row>
    <row r="49" spans="1:4" ht="20.25" customHeight="1" x14ac:dyDescent="0.25">
      <c r="A49" s="33">
        <v>47</v>
      </c>
      <c r="B49" s="35"/>
      <c r="C49" s="36"/>
      <c r="D49" s="25"/>
    </row>
    <row r="50" spans="1:4" ht="20.25" customHeight="1" x14ac:dyDescent="0.25">
      <c r="A50" s="33">
        <v>48</v>
      </c>
      <c r="B50" s="35"/>
      <c r="C50" s="36"/>
      <c r="D50" s="25"/>
    </row>
    <row r="51" spans="1:4" ht="20.25" customHeight="1" x14ac:dyDescent="0.25">
      <c r="A51" s="33">
        <v>49</v>
      </c>
      <c r="B51" s="35"/>
      <c r="C51" s="36"/>
      <c r="D51" s="25"/>
    </row>
    <row r="52" spans="1:4" ht="20.25" customHeight="1" x14ac:dyDescent="0.25">
      <c r="A52" s="33">
        <v>50</v>
      </c>
      <c r="B52" s="35"/>
      <c r="C52" s="36"/>
      <c r="D52" s="25"/>
    </row>
    <row r="53" spans="1:4" ht="20.25" customHeight="1" x14ac:dyDescent="0.25">
      <c r="A53" s="33">
        <v>51</v>
      </c>
      <c r="B53" s="35"/>
      <c r="C53" s="36"/>
      <c r="D53" s="25"/>
    </row>
    <row r="54" spans="1:4" ht="20.25" customHeight="1" x14ac:dyDescent="0.25">
      <c r="A54" s="33">
        <v>52</v>
      </c>
      <c r="B54" s="35"/>
      <c r="C54" s="36"/>
      <c r="D54" s="25"/>
    </row>
    <row r="55" spans="1:4" ht="20.25" customHeight="1" x14ac:dyDescent="0.25">
      <c r="A55" s="33">
        <v>53</v>
      </c>
      <c r="B55" s="35"/>
      <c r="C55" s="36"/>
      <c r="D55" s="25"/>
    </row>
    <row r="56" spans="1:4" ht="20.25" customHeight="1" x14ac:dyDescent="0.25">
      <c r="A56" s="33">
        <v>54</v>
      </c>
      <c r="B56" s="35"/>
      <c r="C56" s="36"/>
      <c r="D56" s="25"/>
    </row>
    <row r="57" spans="1:4" ht="20.25" customHeight="1" x14ac:dyDescent="0.25">
      <c r="A57" s="33">
        <v>55</v>
      </c>
      <c r="B57" s="35"/>
      <c r="C57" s="36"/>
      <c r="D57" s="25"/>
    </row>
    <row r="58" spans="1:4" ht="20.25" customHeight="1" x14ac:dyDescent="0.25">
      <c r="A58" s="33">
        <v>56</v>
      </c>
      <c r="B58" s="35"/>
      <c r="C58" s="36"/>
      <c r="D58" s="25"/>
    </row>
    <row r="59" spans="1:4" ht="20.25" customHeight="1" x14ac:dyDescent="0.25">
      <c r="A59" s="33">
        <v>57</v>
      </c>
      <c r="B59" s="35"/>
      <c r="C59" s="36"/>
      <c r="D59" s="25"/>
    </row>
    <row r="60" spans="1:4" ht="20.25" customHeight="1" x14ac:dyDescent="0.25">
      <c r="A60" s="33">
        <v>58</v>
      </c>
      <c r="B60" s="35"/>
      <c r="C60" s="36"/>
      <c r="D60" s="25"/>
    </row>
    <row r="61" spans="1:4" ht="20.25" customHeight="1" x14ac:dyDescent="0.25">
      <c r="A61" s="33">
        <v>59</v>
      </c>
      <c r="B61" s="35"/>
      <c r="C61" s="36"/>
      <c r="D61" s="25"/>
    </row>
    <row r="62" spans="1:4" ht="20.25" customHeight="1" x14ac:dyDescent="0.25">
      <c r="A62" s="33">
        <v>60</v>
      </c>
      <c r="B62" s="35"/>
      <c r="C62" s="36"/>
      <c r="D62" s="25"/>
    </row>
    <row r="63" spans="1:4" ht="20.25" customHeight="1" x14ac:dyDescent="0.25">
      <c r="A63" s="33">
        <v>61</v>
      </c>
      <c r="B63" s="35"/>
      <c r="C63" s="36"/>
      <c r="D63" s="25"/>
    </row>
    <row r="64" spans="1:4" ht="20.25" customHeight="1" x14ac:dyDescent="0.25">
      <c r="A64" s="33">
        <v>62</v>
      </c>
      <c r="B64" s="35"/>
      <c r="C64" s="36"/>
      <c r="D64" s="25"/>
    </row>
    <row r="65" spans="1:4" ht="20.25" customHeight="1" x14ac:dyDescent="0.25">
      <c r="A65" s="33">
        <v>63</v>
      </c>
      <c r="B65" s="35"/>
      <c r="C65" s="36"/>
      <c r="D65" s="25"/>
    </row>
    <row r="66" spans="1:4" ht="20.25" customHeight="1" x14ac:dyDescent="0.25">
      <c r="A66" s="33">
        <v>64</v>
      </c>
      <c r="B66" s="35"/>
      <c r="C66" s="36"/>
      <c r="D66" s="25"/>
    </row>
    <row r="67" spans="1:4" ht="20.25" customHeight="1" x14ac:dyDescent="0.25">
      <c r="A67" s="33">
        <v>65</v>
      </c>
      <c r="B67" s="35"/>
      <c r="C67" s="36"/>
      <c r="D67" s="25"/>
    </row>
    <row r="68" spans="1:4" ht="20.25" customHeight="1" x14ac:dyDescent="0.25">
      <c r="A68" s="33">
        <v>66</v>
      </c>
      <c r="B68" s="35"/>
      <c r="C68" s="36"/>
      <c r="D68" s="25"/>
    </row>
    <row r="69" spans="1:4" ht="20.25" customHeight="1" x14ac:dyDescent="0.25">
      <c r="A69" s="33">
        <v>67</v>
      </c>
      <c r="B69" s="35"/>
      <c r="C69" s="36"/>
      <c r="D69" s="25"/>
    </row>
    <row r="70" spans="1:4" ht="20.25" customHeight="1" x14ac:dyDescent="0.25">
      <c r="A70" s="33">
        <v>68</v>
      </c>
      <c r="B70" s="35"/>
      <c r="C70" s="36"/>
      <c r="D70" s="25"/>
    </row>
    <row r="71" spans="1:4" ht="20.25" customHeight="1" x14ac:dyDescent="0.25">
      <c r="A71" s="33">
        <v>69</v>
      </c>
      <c r="B71" s="35"/>
      <c r="C71" s="36"/>
      <c r="D71" s="25"/>
    </row>
    <row r="72" spans="1:4" ht="20.25" customHeight="1" x14ac:dyDescent="0.25">
      <c r="A72" s="33">
        <v>70</v>
      </c>
      <c r="B72" s="35"/>
      <c r="C72" s="36"/>
      <c r="D72" s="25"/>
    </row>
    <row r="73" spans="1:4" ht="20.25" customHeight="1" x14ac:dyDescent="0.25">
      <c r="A73" s="33">
        <v>71</v>
      </c>
      <c r="B73" s="35"/>
      <c r="C73" s="36"/>
      <c r="D73" s="25"/>
    </row>
    <row r="74" spans="1:4" ht="20.25" customHeight="1" x14ac:dyDescent="0.25">
      <c r="A74" s="33">
        <v>72</v>
      </c>
      <c r="B74" s="35"/>
      <c r="C74" s="36"/>
      <c r="D74" s="25"/>
    </row>
    <row r="75" spans="1:4" ht="20.25" customHeight="1" x14ac:dyDescent="0.25">
      <c r="A75" s="33">
        <v>73</v>
      </c>
      <c r="B75" s="35"/>
      <c r="C75" s="36"/>
      <c r="D75" s="25"/>
    </row>
    <row r="76" spans="1:4" x14ac:dyDescent="0.25">
      <c r="B76"/>
      <c r="C76"/>
    </row>
    <row r="77" spans="1:4" x14ac:dyDescent="0.25">
      <c r="B77"/>
      <c r="C77"/>
    </row>
    <row r="78" spans="1:4" x14ac:dyDescent="0.25">
      <c r="B78"/>
      <c r="C78"/>
    </row>
    <row r="79" spans="1:4" x14ac:dyDescent="0.25">
      <c r="B79"/>
      <c r="C79"/>
    </row>
    <row r="80" spans="1:4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  <row r="98" spans="2:3" x14ac:dyDescent="0.25">
      <c r="B98"/>
      <c r="C98"/>
    </row>
    <row r="99" spans="2:3" x14ac:dyDescent="0.25">
      <c r="B99"/>
      <c r="C99"/>
    </row>
    <row r="100" spans="2:3" x14ac:dyDescent="0.25">
      <c r="B100"/>
      <c r="C100"/>
    </row>
    <row r="101" spans="2:3" x14ac:dyDescent="0.25">
      <c r="B101"/>
      <c r="C101"/>
    </row>
    <row r="102" spans="2:3" x14ac:dyDescent="0.25">
      <c r="B102"/>
      <c r="C102"/>
    </row>
    <row r="103" spans="2:3" x14ac:dyDescent="0.25">
      <c r="B103"/>
      <c r="C103"/>
    </row>
    <row r="104" spans="2:3" x14ac:dyDescent="0.25">
      <c r="B104"/>
      <c r="C104"/>
    </row>
    <row r="105" spans="2:3" x14ac:dyDescent="0.25">
      <c r="B105"/>
      <c r="C105"/>
    </row>
    <row r="106" spans="2:3" x14ac:dyDescent="0.25">
      <c r="B106"/>
      <c r="C106"/>
    </row>
    <row r="107" spans="2:3" x14ac:dyDescent="0.25">
      <c r="B107"/>
      <c r="C107"/>
    </row>
    <row r="108" spans="2:3" x14ac:dyDescent="0.25">
      <c r="B108"/>
      <c r="C108"/>
    </row>
    <row r="109" spans="2:3" x14ac:dyDescent="0.25">
      <c r="B109"/>
      <c r="C109"/>
    </row>
    <row r="110" spans="2:3" x14ac:dyDescent="0.25">
      <c r="B110"/>
      <c r="C110"/>
    </row>
    <row r="111" spans="2:3" x14ac:dyDescent="0.25">
      <c r="B111"/>
      <c r="C111"/>
    </row>
    <row r="112" spans="2:3" x14ac:dyDescent="0.25">
      <c r="B112"/>
      <c r="C112"/>
    </row>
    <row r="113" spans="2:3" x14ac:dyDescent="0.25">
      <c r="B113"/>
      <c r="C113"/>
    </row>
    <row r="114" spans="2:3" x14ac:dyDescent="0.25">
      <c r="B114"/>
      <c r="C114"/>
    </row>
    <row r="115" spans="2:3" x14ac:dyDescent="0.25">
      <c r="B115"/>
      <c r="C115"/>
    </row>
    <row r="116" spans="2:3" x14ac:dyDescent="0.25">
      <c r="B116"/>
      <c r="C116"/>
    </row>
    <row r="117" spans="2:3" x14ac:dyDescent="0.25">
      <c r="B117"/>
      <c r="C117"/>
    </row>
    <row r="118" spans="2:3" x14ac:dyDescent="0.25">
      <c r="B118"/>
      <c r="C118"/>
    </row>
    <row r="119" spans="2:3" x14ac:dyDescent="0.25">
      <c r="B119"/>
      <c r="C119"/>
    </row>
    <row r="120" spans="2:3" x14ac:dyDescent="0.25">
      <c r="B120"/>
      <c r="C120"/>
    </row>
    <row r="121" spans="2:3" x14ac:dyDescent="0.25">
      <c r="B121"/>
      <c r="C121"/>
    </row>
    <row r="122" spans="2:3" x14ac:dyDescent="0.25">
      <c r="B122"/>
      <c r="C122"/>
    </row>
    <row r="123" spans="2:3" x14ac:dyDescent="0.25">
      <c r="B123"/>
      <c r="C123"/>
    </row>
    <row r="124" spans="2:3" x14ac:dyDescent="0.25">
      <c r="B124"/>
      <c r="C124"/>
    </row>
    <row r="125" spans="2:3" x14ac:dyDescent="0.25">
      <c r="B125"/>
      <c r="C125"/>
    </row>
    <row r="126" spans="2:3" x14ac:dyDescent="0.25">
      <c r="B126"/>
      <c r="C126"/>
    </row>
    <row r="127" spans="2:3" x14ac:dyDescent="0.25">
      <c r="B127"/>
      <c r="C127"/>
    </row>
    <row r="128" spans="2:3" x14ac:dyDescent="0.25">
      <c r="B128"/>
      <c r="C128"/>
    </row>
    <row r="129" spans="2:3" x14ac:dyDescent="0.25">
      <c r="B129"/>
      <c r="C129"/>
    </row>
    <row r="130" spans="2:3" x14ac:dyDescent="0.25">
      <c r="B130"/>
      <c r="C130"/>
    </row>
    <row r="131" spans="2:3" x14ac:dyDescent="0.25">
      <c r="B131"/>
      <c r="C131"/>
    </row>
    <row r="132" spans="2:3" x14ac:dyDescent="0.25">
      <c r="B132"/>
      <c r="C132"/>
    </row>
    <row r="133" spans="2:3" x14ac:dyDescent="0.25">
      <c r="B133"/>
      <c r="C133"/>
    </row>
    <row r="134" spans="2:3" x14ac:dyDescent="0.25">
      <c r="B134"/>
      <c r="C134"/>
    </row>
    <row r="135" spans="2:3" x14ac:dyDescent="0.25">
      <c r="B135"/>
      <c r="C135"/>
    </row>
    <row r="136" spans="2:3" x14ac:dyDescent="0.25">
      <c r="B136"/>
      <c r="C136"/>
    </row>
    <row r="137" spans="2:3" x14ac:dyDescent="0.25">
      <c r="B137"/>
      <c r="C137"/>
    </row>
    <row r="138" spans="2:3" x14ac:dyDescent="0.25">
      <c r="B138"/>
      <c r="C138"/>
    </row>
    <row r="139" spans="2:3" x14ac:dyDescent="0.25">
      <c r="B139"/>
      <c r="C139"/>
    </row>
    <row r="140" spans="2:3" x14ac:dyDescent="0.25">
      <c r="B140"/>
      <c r="C140"/>
    </row>
    <row r="141" spans="2:3" x14ac:dyDescent="0.25">
      <c r="B141"/>
      <c r="C141"/>
    </row>
    <row r="142" spans="2:3" x14ac:dyDescent="0.25">
      <c r="B142"/>
      <c r="C142"/>
    </row>
    <row r="143" spans="2:3" x14ac:dyDescent="0.25">
      <c r="B143"/>
      <c r="C143"/>
    </row>
    <row r="144" spans="2:3" x14ac:dyDescent="0.25">
      <c r="B144"/>
      <c r="C144"/>
    </row>
    <row r="145" spans="2:3" x14ac:dyDescent="0.25">
      <c r="B145"/>
      <c r="C145"/>
    </row>
    <row r="146" spans="2:3" x14ac:dyDescent="0.25">
      <c r="B146"/>
      <c r="C146"/>
    </row>
    <row r="147" spans="2:3" x14ac:dyDescent="0.25">
      <c r="B147"/>
      <c r="C147"/>
    </row>
    <row r="148" spans="2:3" x14ac:dyDescent="0.25">
      <c r="B148"/>
      <c r="C148"/>
    </row>
    <row r="149" spans="2:3" x14ac:dyDescent="0.25">
      <c r="B149"/>
      <c r="C149"/>
    </row>
    <row r="150" spans="2:3" x14ac:dyDescent="0.25">
      <c r="B150"/>
      <c r="C150"/>
    </row>
    <row r="151" spans="2:3" x14ac:dyDescent="0.25">
      <c r="B151"/>
      <c r="C151"/>
    </row>
    <row r="152" spans="2:3" x14ac:dyDescent="0.25">
      <c r="B152"/>
      <c r="C152"/>
    </row>
    <row r="153" spans="2:3" x14ac:dyDescent="0.25">
      <c r="B153"/>
      <c r="C153"/>
    </row>
    <row r="154" spans="2:3" x14ac:dyDescent="0.25">
      <c r="B154"/>
      <c r="C154"/>
    </row>
    <row r="155" spans="2:3" x14ac:dyDescent="0.25">
      <c r="B155"/>
      <c r="C155"/>
    </row>
    <row r="156" spans="2:3" x14ac:dyDescent="0.25">
      <c r="B156"/>
      <c r="C156"/>
    </row>
    <row r="157" spans="2:3" x14ac:dyDescent="0.25">
      <c r="B157"/>
      <c r="C157"/>
    </row>
    <row r="158" spans="2:3" x14ac:dyDescent="0.25">
      <c r="B158"/>
      <c r="C158"/>
    </row>
    <row r="159" spans="2:3" x14ac:dyDescent="0.25">
      <c r="B159"/>
      <c r="C159"/>
    </row>
    <row r="160" spans="2:3" x14ac:dyDescent="0.25">
      <c r="B160"/>
      <c r="C160"/>
    </row>
    <row r="161" spans="2:3" x14ac:dyDescent="0.25">
      <c r="B161"/>
      <c r="C161"/>
    </row>
    <row r="162" spans="2:3" x14ac:dyDescent="0.25">
      <c r="B162"/>
      <c r="C162"/>
    </row>
    <row r="163" spans="2:3" x14ac:dyDescent="0.25">
      <c r="B163"/>
      <c r="C163"/>
    </row>
    <row r="164" spans="2:3" x14ac:dyDescent="0.25">
      <c r="B164"/>
      <c r="C164"/>
    </row>
    <row r="165" spans="2:3" x14ac:dyDescent="0.25">
      <c r="B165"/>
      <c r="C165"/>
    </row>
    <row r="166" spans="2:3" x14ac:dyDescent="0.25">
      <c r="B166"/>
      <c r="C166"/>
    </row>
    <row r="167" spans="2:3" x14ac:dyDescent="0.25">
      <c r="B167"/>
      <c r="C167"/>
    </row>
    <row r="168" spans="2:3" x14ac:dyDescent="0.25">
      <c r="B168"/>
      <c r="C168"/>
    </row>
    <row r="169" spans="2:3" x14ac:dyDescent="0.25">
      <c r="B169"/>
      <c r="C169"/>
    </row>
    <row r="170" spans="2:3" x14ac:dyDescent="0.25">
      <c r="B170"/>
      <c r="C170"/>
    </row>
    <row r="171" spans="2:3" x14ac:dyDescent="0.25">
      <c r="B171"/>
      <c r="C171"/>
    </row>
    <row r="172" spans="2:3" x14ac:dyDescent="0.25">
      <c r="B172"/>
      <c r="C172"/>
    </row>
    <row r="173" spans="2:3" x14ac:dyDescent="0.25">
      <c r="B173"/>
      <c r="C173"/>
    </row>
    <row r="174" spans="2:3" x14ac:dyDescent="0.25">
      <c r="B174"/>
      <c r="C174"/>
    </row>
    <row r="175" spans="2:3" x14ac:dyDescent="0.25">
      <c r="B175"/>
      <c r="C175"/>
    </row>
    <row r="176" spans="2:3" x14ac:dyDescent="0.25">
      <c r="B176"/>
      <c r="C176"/>
    </row>
    <row r="177" spans="2:3" x14ac:dyDescent="0.25">
      <c r="B177"/>
      <c r="C177"/>
    </row>
    <row r="178" spans="2:3" x14ac:dyDescent="0.25">
      <c r="B178"/>
      <c r="C178"/>
    </row>
    <row r="179" spans="2:3" x14ac:dyDescent="0.25">
      <c r="B179"/>
      <c r="C179"/>
    </row>
    <row r="180" spans="2:3" x14ac:dyDescent="0.25">
      <c r="B180"/>
      <c r="C180"/>
    </row>
    <row r="181" spans="2:3" x14ac:dyDescent="0.25">
      <c r="B181"/>
      <c r="C181"/>
    </row>
    <row r="182" spans="2:3" x14ac:dyDescent="0.25">
      <c r="B182"/>
      <c r="C182"/>
    </row>
    <row r="183" spans="2:3" x14ac:dyDescent="0.25">
      <c r="B183"/>
      <c r="C183"/>
    </row>
    <row r="184" spans="2:3" x14ac:dyDescent="0.25">
      <c r="B184"/>
      <c r="C184"/>
    </row>
    <row r="185" spans="2:3" x14ac:dyDescent="0.25">
      <c r="B185"/>
      <c r="C185"/>
    </row>
    <row r="186" spans="2:3" x14ac:dyDescent="0.25">
      <c r="B186"/>
      <c r="C186"/>
    </row>
    <row r="187" spans="2:3" x14ac:dyDescent="0.25">
      <c r="B187"/>
      <c r="C187"/>
    </row>
    <row r="188" spans="2:3" x14ac:dyDescent="0.25">
      <c r="B188"/>
      <c r="C188"/>
    </row>
    <row r="189" spans="2:3" x14ac:dyDescent="0.25">
      <c r="B189"/>
      <c r="C189"/>
    </row>
    <row r="190" spans="2:3" x14ac:dyDescent="0.25">
      <c r="B190"/>
      <c r="C190"/>
    </row>
    <row r="191" spans="2:3" x14ac:dyDescent="0.25">
      <c r="B191"/>
      <c r="C191"/>
    </row>
    <row r="192" spans="2:3" x14ac:dyDescent="0.25">
      <c r="B192"/>
      <c r="C192"/>
    </row>
    <row r="193" spans="2:3" x14ac:dyDescent="0.25">
      <c r="B193"/>
      <c r="C193"/>
    </row>
    <row r="194" spans="2:3" x14ac:dyDescent="0.25">
      <c r="B194"/>
      <c r="C194"/>
    </row>
    <row r="195" spans="2:3" x14ac:dyDescent="0.25">
      <c r="B195"/>
      <c r="C195"/>
    </row>
    <row r="196" spans="2:3" x14ac:dyDescent="0.25">
      <c r="B196"/>
      <c r="C196"/>
    </row>
    <row r="197" spans="2:3" x14ac:dyDescent="0.25">
      <c r="B197"/>
      <c r="C197"/>
    </row>
    <row r="198" spans="2:3" x14ac:dyDescent="0.25">
      <c r="B198"/>
      <c r="C198"/>
    </row>
    <row r="199" spans="2:3" x14ac:dyDescent="0.25">
      <c r="B199"/>
      <c r="C199"/>
    </row>
    <row r="200" spans="2:3" x14ac:dyDescent="0.25">
      <c r="B200"/>
      <c r="C200"/>
    </row>
  </sheetData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72721" r:id="rId4" name="B_p1_200">
          <controlPr defaultSize="0" autoLine="0" r:id="rId5">
            <anchor moveWithCells="1">
              <from>
                <xdr:col>4</xdr:col>
                <xdr:colOff>552450</xdr:colOff>
                <xdr:row>2</xdr:row>
                <xdr:rowOff>190500</xdr:rowOff>
              </from>
              <to>
                <xdr:col>4</xdr:col>
                <xdr:colOff>2305050</xdr:colOff>
                <xdr:row>5</xdr:row>
                <xdr:rowOff>28575</xdr:rowOff>
              </to>
            </anchor>
          </controlPr>
        </control>
      </mc:Choice>
      <mc:Fallback>
        <control shapeId="72721" r:id="rId4" name="B_p1_200"/>
      </mc:Fallback>
    </mc:AlternateContent>
    <mc:AlternateContent xmlns:mc="http://schemas.openxmlformats.org/markup-compatibility/2006">
      <mc:Choice Requires="x14">
        <control shapeId="72724" r:id="rId6" name="b_p1_400">
          <controlPr defaultSize="0" autoLine="0" r:id="rId7">
            <anchor moveWithCells="1">
              <from>
                <xdr:col>4</xdr:col>
                <xdr:colOff>542925</xdr:colOff>
                <xdr:row>5</xdr:row>
                <xdr:rowOff>180975</xdr:rowOff>
              </from>
              <to>
                <xdr:col>4</xdr:col>
                <xdr:colOff>2305050</xdr:colOff>
                <xdr:row>8</xdr:row>
                <xdr:rowOff>9525</xdr:rowOff>
              </to>
            </anchor>
          </controlPr>
        </control>
      </mc:Choice>
      <mc:Fallback>
        <control shapeId="72724" r:id="rId6" name="b_p1_400"/>
      </mc:Fallback>
    </mc:AlternateContent>
    <mc:AlternateContent xmlns:mc="http://schemas.openxmlformats.org/markup-compatibility/2006">
      <mc:Choice Requires="x14">
        <control shapeId="72725" r:id="rId8" name="B_p1_600">
          <controlPr defaultSize="0" autoLine="0" r:id="rId9">
            <anchor moveWithCells="1">
              <from>
                <xdr:col>4</xdr:col>
                <xdr:colOff>533400</xdr:colOff>
                <xdr:row>8</xdr:row>
                <xdr:rowOff>123825</xdr:rowOff>
              </from>
              <to>
                <xdr:col>4</xdr:col>
                <xdr:colOff>2295525</xdr:colOff>
                <xdr:row>10</xdr:row>
                <xdr:rowOff>209550</xdr:rowOff>
              </to>
            </anchor>
          </controlPr>
        </control>
      </mc:Choice>
      <mc:Fallback>
        <control shapeId="72725" r:id="rId8" name="B_p1_600"/>
      </mc:Fallback>
    </mc:AlternateContent>
    <mc:AlternateContent xmlns:mc="http://schemas.openxmlformats.org/markup-compatibility/2006">
      <mc:Choice Requires="x14">
        <control shapeId="72726" r:id="rId10" name="B_p1_800">
          <controlPr defaultSize="0" autoLine="0" r:id="rId11">
            <anchor moveWithCells="1">
              <from>
                <xdr:col>4</xdr:col>
                <xdr:colOff>533400</xdr:colOff>
                <xdr:row>11</xdr:row>
                <xdr:rowOff>133350</xdr:rowOff>
              </from>
              <to>
                <xdr:col>4</xdr:col>
                <xdr:colOff>2295525</xdr:colOff>
                <xdr:row>13</xdr:row>
                <xdr:rowOff>219075</xdr:rowOff>
              </to>
            </anchor>
          </controlPr>
        </control>
      </mc:Choice>
      <mc:Fallback>
        <control shapeId="72726" r:id="rId10" name="B_p1_800"/>
      </mc:Fallback>
    </mc:AlternateContent>
    <mc:AlternateContent xmlns:mc="http://schemas.openxmlformats.org/markup-compatibility/2006">
      <mc:Choice Requires="x14">
        <control shapeId="72727" r:id="rId12" name="B_p1_1000">
          <controlPr defaultSize="0" autoLine="0" r:id="rId13">
            <anchor moveWithCells="1">
              <from>
                <xdr:col>4</xdr:col>
                <xdr:colOff>542925</xdr:colOff>
                <xdr:row>14</xdr:row>
                <xdr:rowOff>114300</xdr:rowOff>
              </from>
              <to>
                <xdr:col>4</xdr:col>
                <xdr:colOff>2305050</xdr:colOff>
                <xdr:row>16</xdr:row>
                <xdr:rowOff>200025</xdr:rowOff>
              </to>
            </anchor>
          </controlPr>
        </control>
      </mc:Choice>
      <mc:Fallback>
        <control shapeId="72727" r:id="rId12" name="B_p1_1000"/>
      </mc:Fallback>
    </mc:AlternateContent>
    <mc:AlternateContent xmlns:mc="http://schemas.openxmlformats.org/markup-compatibility/2006">
      <mc:Choice Requires="x14">
        <control shapeId="72705" r:id="rId14" name="Button 1">
          <controlPr defaultSize="0" print="0" autoFill="0" autoPict="0" macro="[0]!B_p1_r1_200">
            <anchor moveWithCells="1" sizeWithCells="1">
              <from>
                <xdr:col>4</xdr:col>
                <xdr:colOff>19050</xdr:colOff>
                <xdr:row>3</xdr:row>
                <xdr:rowOff>57150</xdr:rowOff>
              </from>
              <to>
                <xdr:col>5</xdr:col>
                <xdr:colOff>19050</xdr:colOff>
                <xdr:row>5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06" r:id="rId15" name="Button 2">
          <controlPr defaultSize="0" print="0" autoFill="0" autoPict="0" macro="[0]!B_p1_r1_400">
            <anchor moveWithCells="1" sizeWithCells="1">
              <from>
                <xdr:col>4</xdr:col>
                <xdr:colOff>28575</xdr:colOff>
                <xdr:row>6</xdr:row>
                <xdr:rowOff>47625</xdr:rowOff>
              </from>
              <to>
                <xdr:col>5</xdr:col>
                <xdr:colOff>0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07" r:id="rId16" name="Button 3">
          <controlPr defaultSize="0" print="0" autoFill="0" autoPict="0" macro="[0]!B_p1_r1_600">
            <anchor moveWithCells="1" sizeWithCells="1">
              <from>
                <xdr:col>4</xdr:col>
                <xdr:colOff>19050</xdr:colOff>
                <xdr:row>9</xdr:row>
                <xdr:rowOff>47625</xdr:rowOff>
              </from>
              <to>
                <xdr:col>5</xdr:col>
                <xdr:colOff>19050</xdr:colOff>
                <xdr:row>11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08" r:id="rId17" name="Button 4">
          <controlPr defaultSize="0" print="0" autoFill="0" autoPict="0" macro="[0]!B_p1_r1_800">
            <anchor moveWithCells="1" sizeWithCells="1">
              <from>
                <xdr:col>4</xdr:col>
                <xdr:colOff>19050</xdr:colOff>
                <xdr:row>12</xdr:row>
                <xdr:rowOff>38100</xdr:rowOff>
              </from>
              <to>
                <xdr:col>5</xdr:col>
                <xdr:colOff>19050</xdr:colOff>
                <xdr:row>14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09" r:id="rId18" name="Button 5">
          <controlPr defaultSize="0" print="0" autoFill="0" autoPict="0" macro="[0]!B_p1_r1_1000">
            <anchor moveWithCells="1" sizeWithCells="1">
              <from>
                <xdr:col>4</xdr:col>
                <xdr:colOff>19050</xdr:colOff>
                <xdr:row>15</xdr:row>
                <xdr:rowOff>28575</xdr:rowOff>
              </from>
              <to>
                <xdr:col>5</xdr:col>
                <xdr:colOff>19050</xdr:colOff>
                <xdr:row>17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10" r:id="rId19" name="Button 6">
          <controlPr defaultSize="0" print="0" autoFill="0" autoPict="0" macro="[0]!B_p2_r1_200">
            <anchor moveWithCells="1" sizeWithCells="1">
              <from>
                <xdr:col>5</xdr:col>
                <xdr:colOff>561975</xdr:colOff>
                <xdr:row>3</xdr:row>
                <xdr:rowOff>57150</xdr:rowOff>
              </from>
              <to>
                <xdr:col>7</xdr:col>
                <xdr:colOff>9525</xdr:colOff>
                <xdr:row>5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11" r:id="rId20" name="Button 7">
          <controlPr defaultSize="0" print="0" autoFill="0" autoPict="0" macro="[0]!B_p2_r1_400">
            <anchor moveWithCells="1" sizeWithCells="1">
              <from>
                <xdr:col>6</xdr:col>
                <xdr:colOff>9525</xdr:colOff>
                <xdr:row>6</xdr:row>
                <xdr:rowOff>47625</xdr:rowOff>
              </from>
              <to>
                <xdr:col>7</xdr:col>
                <xdr:colOff>19050</xdr:colOff>
                <xdr:row>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12" r:id="rId21" name="Button 8">
          <controlPr defaultSize="0" print="0" autoFill="0" autoPict="0" macro="[0]!B_p2_r1_600">
            <anchor moveWithCells="1" sizeWithCells="1">
              <from>
                <xdr:col>5</xdr:col>
                <xdr:colOff>561975</xdr:colOff>
                <xdr:row>9</xdr:row>
                <xdr:rowOff>47625</xdr:rowOff>
              </from>
              <to>
                <xdr:col>7</xdr:col>
                <xdr:colOff>9525</xdr:colOff>
                <xdr:row>11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13" r:id="rId22" name="Button 9">
          <controlPr defaultSize="0" print="0" autoFill="0" autoPict="0" macro="[0]!B_p2_r1_800">
            <anchor moveWithCells="1" sizeWithCells="1">
              <from>
                <xdr:col>5</xdr:col>
                <xdr:colOff>561975</xdr:colOff>
                <xdr:row>12</xdr:row>
                <xdr:rowOff>38100</xdr:rowOff>
              </from>
              <to>
                <xdr:col>7</xdr:col>
                <xdr:colOff>9525</xdr:colOff>
                <xdr:row>14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14" r:id="rId23" name="Button 10">
          <controlPr defaultSize="0" print="0" autoFill="0" autoPict="0" macro="[0]!B_p2_r1_1000">
            <anchor moveWithCells="1" sizeWithCells="1">
              <from>
                <xdr:col>5</xdr:col>
                <xdr:colOff>561975</xdr:colOff>
                <xdr:row>15</xdr:row>
                <xdr:rowOff>28575</xdr:rowOff>
              </from>
              <to>
                <xdr:col>7</xdr:col>
                <xdr:colOff>9525</xdr:colOff>
                <xdr:row>17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17" r:id="rId24" name="Drop Down 13">
          <controlPr defaultSize="0" autoLine="0" autoPict="0" macro="[0]!Round_change">
            <anchor moveWithCells="1">
              <from>
                <xdr:col>0</xdr:col>
                <xdr:colOff>19050</xdr:colOff>
                <xdr:row>0</xdr:row>
                <xdr:rowOff>9525</xdr:rowOff>
              </from>
              <to>
                <xdr:col>0</xdr:col>
                <xdr:colOff>1333500</xdr:colOff>
                <xdr:row>0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20" r:id="rId25" name="Button 16">
          <controlPr defaultSize="0" print="0" autoFill="0" autoPict="0" macro="[0]!ClearBoard">
            <anchor moveWithCells="1" sizeWithCells="1">
              <from>
                <xdr:col>8</xdr:col>
                <xdr:colOff>28575</xdr:colOff>
                <xdr:row>3</xdr:row>
                <xdr:rowOff>76200</xdr:rowOff>
              </from>
              <to>
                <xdr:col>8</xdr:col>
                <xdr:colOff>1657350</xdr:colOff>
                <xdr:row>5</xdr:row>
                <xdr:rowOff>133350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2"/>
  <dimension ref="A1:AL212"/>
  <sheetViews>
    <sheetView tabSelected="1" zoomScale="90" zoomScaleNormal="90" workbookViewId="0">
      <selection activeCell="B12" sqref="B12"/>
    </sheetView>
  </sheetViews>
  <sheetFormatPr defaultRowHeight="12.75" customHeight="1" x14ac:dyDescent="0.25"/>
  <cols>
    <col min="1" max="9" width="9.140625" style="46"/>
    <col min="10" max="10" width="15.140625" style="46" bestFit="1" customWidth="1"/>
    <col min="11" max="17" width="9.140625" style="46"/>
    <col min="18" max="18" width="11.42578125" style="46" bestFit="1" customWidth="1"/>
    <col min="19" max="21" width="9.140625" style="46"/>
    <col min="22" max="22" width="11.42578125" style="46" bestFit="1" customWidth="1"/>
    <col min="23" max="29" width="9.140625" style="46"/>
    <col min="30" max="30" width="14.5703125" style="46" bestFit="1" customWidth="1"/>
    <col min="31" max="16384" width="9.140625" style="46"/>
  </cols>
  <sheetData>
    <row r="1" spans="1:38" ht="12.75" customHeight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62" t="s">
        <v>2</v>
      </c>
      <c r="AE1" s="48"/>
      <c r="AF1" s="48"/>
      <c r="AG1" s="48"/>
      <c r="AH1" s="48"/>
      <c r="AI1" s="48"/>
      <c r="AJ1" s="48"/>
      <c r="AK1" s="48"/>
      <c r="AL1" s="48"/>
    </row>
    <row r="2" spans="1:38" ht="12.75" customHeight="1" x14ac:dyDescent="0.2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62" t="s">
        <v>3</v>
      </c>
      <c r="AE2" s="48"/>
      <c r="AF2" s="48"/>
      <c r="AG2" s="48"/>
      <c r="AH2" s="48"/>
      <c r="AI2" s="48"/>
      <c r="AJ2" s="48"/>
      <c r="AK2" s="48"/>
      <c r="AL2" s="48"/>
    </row>
    <row r="3" spans="1:38" ht="12.75" customHeight="1" x14ac:dyDescent="0.35">
      <c r="A3" s="48"/>
      <c r="B3" s="48"/>
      <c r="C3" s="48"/>
      <c r="D3" s="48"/>
      <c r="E3" s="48"/>
      <c r="F3" s="48"/>
      <c r="G3" s="48"/>
      <c r="H3" s="48"/>
      <c r="I3" s="48"/>
      <c r="J3" s="49"/>
      <c r="K3" s="48"/>
      <c r="L3" s="48"/>
      <c r="M3" s="48"/>
      <c r="N3" s="48"/>
      <c r="O3" s="48"/>
      <c r="P3" s="55" t="s">
        <v>94</v>
      </c>
      <c r="Q3" s="56">
        <v>2</v>
      </c>
      <c r="R3" s="48"/>
      <c r="S3" s="48"/>
      <c r="T3" s="48"/>
      <c r="U3" s="48"/>
      <c r="V3" s="48"/>
      <c r="W3" s="50"/>
      <c r="X3" s="48"/>
      <c r="Y3" s="48"/>
      <c r="Z3" s="48"/>
      <c r="AA3" s="48"/>
      <c r="AB3" s="48"/>
      <c r="AC3" s="48"/>
      <c r="AD3" s="62" t="s">
        <v>89</v>
      </c>
      <c r="AE3" s="48"/>
      <c r="AF3" s="48"/>
      <c r="AG3" s="48"/>
      <c r="AH3" s="48"/>
      <c r="AI3" s="48"/>
      <c r="AJ3" s="48"/>
      <c r="AK3" s="48"/>
      <c r="AL3" s="48"/>
    </row>
    <row r="4" spans="1:38" ht="12.75" customHeight="1" x14ac:dyDescent="0.25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62" t="s">
        <v>90</v>
      </c>
      <c r="AE4" s="48"/>
      <c r="AF4" s="48"/>
      <c r="AG4" s="48"/>
      <c r="AH4" s="48"/>
      <c r="AI4" s="48"/>
      <c r="AJ4" s="48"/>
      <c r="AK4" s="48"/>
      <c r="AL4" s="48"/>
    </row>
    <row r="5" spans="1:38" ht="12.75" customHeight="1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</row>
    <row r="6" spans="1:38" ht="12.75" customHeight="1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</row>
    <row r="7" spans="1:38" ht="12.75" customHeight="1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</row>
    <row r="8" spans="1:38" ht="12.75" customHeight="1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</row>
    <row r="9" spans="1:38" ht="12.75" customHeight="1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</row>
    <row r="10" spans="1:38" ht="21.75" customHeight="1" x14ac:dyDescent="0.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58"/>
      <c r="R10" s="78" t="s">
        <v>17</v>
      </c>
      <c r="S10" s="78"/>
      <c r="T10" s="48"/>
      <c r="U10" s="58"/>
      <c r="V10" s="78" t="s">
        <v>16</v>
      </c>
      <c r="W10" s="7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</row>
    <row r="11" spans="1:38" ht="12.75" customHeight="1" x14ac:dyDescent="0.3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52" t="s">
        <v>2</v>
      </c>
      <c r="R11" s="59">
        <f>SUMIF($S$16:$S$60,"=1",$R$16:$R$60)</f>
        <v>0</v>
      </c>
      <c r="S11" s="60">
        <f>COUNTIF($S$16:$S$60,"=1")</f>
        <v>0</v>
      </c>
      <c r="T11" s="52"/>
      <c r="U11" s="52"/>
      <c r="V11" s="59">
        <f>SUMIF($W$16:$W$60,"=1",$V$16:$V$60)</f>
        <v>1800</v>
      </c>
      <c r="W11" s="60">
        <f>COUNTIF($W$16:$W$60,"=1")</f>
        <v>6</v>
      </c>
      <c r="X11" s="52"/>
      <c r="Y11" s="52"/>
      <c r="Z11" s="52"/>
      <c r="AA11" s="52"/>
      <c r="AB11" s="52"/>
      <c r="AC11" s="52"/>
      <c r="AD11" s="48"/>
      <c r="AE11" s="48"/>
      <c r="AF11" s="48"/>
      <c r="AG11" s="48"/>
      <c r="AH11" s="48"/>
      <c r="AI11" s="48"/>
      <c r="AJ11" s="48"/>
      <c r="AK11" s="48"/>
      <c r="AL11" s="48"/>
    </row>
    <row r="12" spans="1:38" ht="12.75" customHeight="1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52" t="s">
        <v>3</v>
      </c>
      <c r="R12" s="59">
        <f>SUMIF($S$16:$S$60,"=2",$R$16:$R$60)</f>
        <v>3200</v>
      </c>
      <c r="S12" s="60">
        <f>COUNTIF($S$16:$S$60,"=2")</f>
        <v>2</v>
      </c>
      <c r="T12" s="52"/>
      <c r="U12" s="52"/>
      <c r="V12" s="59">
        <f>SUMIF($W$16:$W$60,"=2",$V$16:$V$60)</f>
        <v>10000</v>
      </c>
      <c r="W12" s="60">
        <f>COUNTIF($W$16:$W$60,"=2")</f>
        <v>9</v>
      </c>
      <c r="X12" s="52"/>
      <c r="Y12" s="52"/>
      <c r="Z12" s="52"/>
      <c r="AA12" s="52"/>
      <c r="AB12" s="52"/>
      <c r="AC12" s="52"/>
      <c r="AD12" s="48"/>
      <c r="AE12" s="48"/>
      <c r="AF12" s="48"/>
      <c r="AG12" s="48"/>
      <c r="AH12" s="48"/>
      <c r="AI12" s="48"/>
      <c r="AJ12" s="48"/>
      <c r="AK12" s="48"/>
      <c r="AL12" s="48"/>
    </row>
    <row r="13" spans="1:38" ht="12.75" customHeight="1" x14ac:dyDescent="0.3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54"/>
      <c r="R13" s="61">
        <f>R11+R12</f>
        <v>3200</v>
      </c>
      <c r="S13" s="54"/>
      <c r="T13" s="52"/>
      <c r="U13" s="54"/>
      <c r="V13" s="61">
        <f>V11+V12</f>
        <v>11800</v>
      </c>
      <c r="W13" s="57"/>
      <c r="X13" s="52"/>
      <c r="Y13" s="52"/>
      <c r="Z13" s="52"/>
      <c r="AA13" s="52"/>
      <c r="AB13" s="52"/>
      <c r="AC13" s="52"/>
      <c r="AD13" s="48"/>
      <c r="AE13" s="48"/>
      <c r="AF13" s="48"/>
      <c r="AG13" s="48"/>
      <c r="AH13" s="48"/>
      <c r="AI13" s="48"/>
      <c r="AJ13" s="48"/>
      <c r="AK13" s="48"/>
      <c r="AL13" s="48"/>
    </row>
    <row r="14" spans="1:38" ht="12.75" customHeigh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54"/>
      <c r="R14" s="53"/>
      <c r="S14" s="54"/>
      <c r="T14" s="79">
        <f>ABS(SUM(R11:R12)-SUM(V11:V12))</f>
        <v>8600</v>
      </c>
      <c r="U14" s="79"/>
      <c r="V14" s="53"/>
      <c r="W14" s="54"/>
      <c r="X14" s="52"/>
      <c r="Y14" s="52"/>
      <c r="Z14" s="52"/>
      <c r="AA14" s="52"/>
      <c r="AB14" s="52"/>
      <c r="AC14" s="52"/>
      <c r="AD14" s="48"/>
      <c r="AE14" s="48"/>
      <c r="AF14" s="48"/>
      <c r="AG14" s="48"/>
      <c r="AH14" s="48"/>
      <c r="AI14" s="48"/>
      <c r="AJ14" s="48"/>
      <c r="AK14" s="48"/>
      <c r="AL14" s="48"/>
    </row>
    <row r="15" spans="1:38" ht="12.75" customHeight="1" x14ac:dyDescent="0.3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54" t="s">
        <v>93</v>
      </c>
      <c r="R15" s="54" t="s">
        <v>91</v>
      </c>
      <c r="S15" s="60" t="s">
        <v>92</v>
      </c>
      <c r="T15" s="52"/>
      <c r="U15" s="54" t="s">
        <v>93</v>
      </c>
      <c r="V15" s="54" t="s">
        <v>91</v>
      </c>
      <c r="W15" s="60" t="s">
        <v>92</v>
      </c>
      <c r="X15" s="52"/>
      <c r="Y15" s="52"/>
      <c r="Z15" s="52"/>
      <c r="AA15" s="52"/>
      <c r="AB15" s="52"/>
      <c r="AC15" s="52"/>
      <c r="AD15" s="48"/>
      <c r="AE15" s="48"/>
      <c r="AF15" s="48"/>
      <c r="AG15" s="48"/>
      <c r="AH15" s="48"/>
      <c r="AI15" s="48"/>
      <c r="AJ15" s="48"/>
      <c r="AK15" s="48"/>
      <c r="AL15" s="48"/>
    </row>
    <row r="16" spans="1:38" ht="12.75" customHeight="1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54">
        <v>1</v>
      </c>
      <c r="R16" s="53">
        <v>1200</v>
      </c>
      <c r="S16" s="60">
        <v>2</v>
      </c>
      <c r="T16" s="52"/>
      <c r="U16" s="54">
        <v>1</v>
      </c>
      <c r="V16" s="53">
        <v>200</v>
      </c>
      <c r="W16" s="60">
        <v>1</v>
      </c>
      <c r="X16" s="52"/>
      <c r="Y16" s="52"/>
      <c r="Z16" s="52"/>
      <c r="AA16" s="52"/>
      <c r="AB16" s="52"/>
      <c r="AC16" s="52"/>
      <c r="AD16" s="48"/>
      <c r="AE16" s="48"/>
      <c r="AF16" s="48"/>
      <c r="AG16" s="48"/>
      <c r="AH16" s="48"/>
      <c r="AI16" s="48"/>
      <c r="AJ16" s="48"/>
      <c r="AK16" s="48"/>
      <c r="AL16" s="48"/>
    </row>
    <row r="17" spans="1:38" ht="12.75" customHeight="1" x14ac:dyDescent="0.3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54">
        <v>2</v>
      </c>
      <c r="R17" s="53">
        <v>2000</v>
      </c>
      <c r="S17" s="60">
        <v>2</v>
      </c>
      <c r="T17" s="52"/>
      <c r="U17" s="54">
        <v>2</v>
      </c>
      <c r="V17" s="53">
        <v>200</v>
      </c>
      <c r="W17" s="60">
        <v>1</v>
      </c>
      <c r="X17" s="52"/>
      <c r="Y17" s="52"/>
      <c r="Z17" s="52"/>
      <c r="AA17" s="52"/>
      <c r="AB17" s="52"/>
      <c r="AC17" s="52"/>
      <c r="AD17" s="48"/>
      <c r="AE17" s="48"/>
      <c r="AF17" s="48"/>
      <c r="AG17" s="48"/>
      <c r="AH17" s="48"/>
      <c r="AI17" s="48"/>
      <c r="AJ17" s="48"/>
      <c r="AK17" s="48"/>
      <c r="AL17" s="48"/>
    </row>
    <row r="18" spans="1:38" ht="12.75" customHeight="1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54"/>
      <c r="R18" s="53"/>
      <c r="S18" s="60"/>
      <c r="T18" s="52"/>
      <c r="U18" s="54">
        <v>3</v>
      </c>
      <c r="V18" s="53">
        <v>200</v>
      </c>
      <c r="W18" s="60">
        <v>1</v>
      </c>
      <c r="X18" s="52"/>
      <c r="Y18" s="52"/>
      <c r="Z18" s="52"/>
      <c r="AA18" s="52"/>
      <c r="AB18" s="52"/>
      <c r="AC18" s="52"/>
      <c r="AD18" s="48"/>
      <c r="AE18" s="48"/>
      <c r="AF18" s="48"/>
      <c r="AG18" s="48"/>
      <c r="AH18" s="48"/>
      <c r="AI18" s="48"/>
      <c r="AJ18" s="48"/>
      <c r="AK18" s="48"/>
      <c r="AL18" s="48"/>
    </row>
    <row r="19" spans="1:38" ht="12.75" customHeight="1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54"/>
      <c r="R19" s="53"/>
      <c r="S19" s="60"/>
      <c r="T19" s="52"/>
      <c r="U19" s="54">
        <v>4</v>
      </c>
      <c r="V19" s="53">
        <v>400</v>
      </c>
      <c r="W19" s="60">
        <v>1</v>
      </c>
      <c r="X19" s="52"/>
      <c r="Y19" s="52"/>
      <c r="Z19" s="52"/>
      <c r="AA19" s="52"/>
      <c r="AB19" s="52"/>
      <c r="AC19" s="52"/>
      <c r="AD19" s="48"/>
      <c r="AE19" s="48"/>
      <c r="AF19" s="48"/>
      <c r="AG19" s="48"/>
      <c r="AH19" s="48"/>
      <c r="AI19" s="48"/>
      <c r="AJ19" s="48"/>
      <c r="AK19" s="48"/>
      <c r="AL19" s="48"/>
    </row>
    <row r="20" spans="1:38" ht="12.75" customHeight="1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54"/>
      <c r="R20" s="53"/>
      <c r="S20" s="60"/>
      <c r="T20" s="52"/>
      <c r="U20" s="54">
        <v>5</v>
      </c>
      <c r="V20" s="53">
        <v>600</v>
      </c>
      <c r="W20" s="60">
        <v>1</v>
      </c>
      <c r="X20" s="52"/>
      <c r="Y20" s="52"/>
      <c r="Z20" s="52"/>
      <c r="AA20" s="52"/>
      <c r="AB20" s="52"/>
      <c r="AC20" s="52"/>
      <c r="AD20" s="48"/>
      <c r="AE20" s="48"/>
      <c r="AF20" s="48"/>
      <c r="AG20" s="48"/>
      <c r="AH20" s="48"/>
      <c r="AI20" s="48"/>
      <c r="AJ20" s="48"/>
      <c r="AK20" s="48"/>
      <c r="AL20" s="48"/>
    </row>
    <row r="21" spans="1:38" ht="12.75" customHeight="1" x14ac:dyDescent="0.3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54"/>
      <c r="R21" s="53"/>
      <c r="S21" s="60"/>
      <c r="T21" s="52"/>
      <c r="U21" s="54">
        <v>6</v>
      </c>
      <c r="V21" s="53">
        <v>200</v>
      </c>
      <c r="W21" s="60">
        <v>1</v>
      </c>
      <c r="X21" s="52"/>
      <c r="Y21" s="52"/>
      <c r="Z21" s="52"/>
      <c r="AA21" s="52"/>
      <c r="AB21" s="52"/>
      <c r="AC21" s="52"/>
      <c r="AD21" s="48"/>
      <c r="AE21" s="48"/>
      <c r="AF21" s="48"/>
      <c r="AG21" s="48"/>
      <c r="AH21" s="48"/>
      <c r="AI21" s="48"/>
      <c r="AJ21" s="48"/>
      <c r="AK21" s="48"/>
      <c r="AL21" s="48"/>
    </row>
    <row r="22" spans="1:38" ht="12.75" customHeight="1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55"/>
      <c r="Q22" s="54"/>
      <c r="R22" s="53"/>
      <c r="S22" s="60"/>
      <c r="T22" s="52"/>
      <c r="U22" s="54">
        <v>7</v>
      </c>
      <c r="V22" s="53">
        <v>400</v>
      </c>
      <c r="W22" s="60">
        <v>2</v>
      </c>
      <c r="X22" s="52"/>
      <c r="Y22" s="52"/>
      <c r="Z22" s="52"/>
      <c r="AA22" s="52"/>
      <c r="AB22" s="52"/>
      <c r="AC22" s="52"/>
      <c r="AD22" s="48"/>
      <c r="AE22" s="48"/>
      <c r="AF22" s="48"/>
      <c r="AG22" s="48"/>
      <c r="AH22" s="48"/>
      <c r="AI22" s="48"/>
      <c r="AJ22" s="48"/>
      <c r="AK22" s="48"/>
      <c r="AL22" s="48"/>
    </row>
    <row r="23" spans="1:38" ht="12.75" customHeight="1" x14ac:dyDescent="0.3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55"/>
      <c r="Q23" s="54"/>
      <c r="R23" s="53"/>
      <c r="S23" s="60"/>
      <c r="T23" s="52"/>
      <c r="U23" s="54">
        <v>8</v>
      </c>
      <c r="V23" s="53">
        <v>800</v>
      </c>
      <c r="W23" s="60">
        <v>2</v>
      </c>
      <c r="X23" s="52"/>
      <c r="Y23" s="52"/>
      <c r="Z23" s="52"/>
      <c r="AA23" s="52"/>
      <c r="AB23" s="52"/>
      <c r="AC23" s="52"/>
      <c r="AD23" s="48"/>
      <c r="AE23" s="48"/>
      <c r="AF23" s="48"/>
      <c r="AG23" s="48"/>
      <c r="AH23" s="48"/>
      <c r="AI23" s="48"/>
      <c r="AJ23" s="48"/>
      <c r="AK23" s="48"/>
      <c r="AL23" s="48"/>
    </row>
    <row r="24" spans="1:38" ht="12.75" customHeight="1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55"/>
      <c r="Q24" s="54"/>
      <c r="R24" s="53"/>
      <c r="S24" s="60"/>
      <c r="T24" s="52"/>
      <c r="U24" s="54">
        <v>9</v>
      </c>
      <c r="V24" s="53">
        <v>800</v>
      </c>
      <c r="W24" s="60">
        <v>2</v>
      </c>
      <c r="X24" s="52"/>
      <c r="Y24" s="52"/>
      <c r="Z24" s="52"/>
      <c r="AA24" s="52"/>
      <c r="AB24" s="52"/>
      <c r="AC24" s="52"/>
      <c r="AD24" s="48"/>
      <c r="AE24" s="48"/>
      <c r="AF24" s="48"/>
      <c r="AG24" s="48"/>
      <c r="AH24" s="48"/>
      <c r="AI24" s="48"/>
      <c r="AJ24" s="48"/>
      <c r="AK24" s="48"/>
      <c r="AL24" s="48"/>
    </row>
    <row r="25" spans="1:38" ht="12.75" customHeight="1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55"/>
      <c r="Q25" s="54"/>
      <c r="R25" s="53"/>
      <c r="S25" s="60"/>
      <c r="T25" s="52"/>
      <c r="U25" s="54">
        <v>10</v>
      </c>
      <c r="V25" s="53">
        <v>2000</v>
      </c>
      <c r="W25" s="60">
        <v>2</v>
      </c>
      <c r="X25" s="52"/>
      <c r="Y25" s="52"/>
      <c r="Z25" s="52"/>
      <c r="AA25" s="52"/>
      <c r="AB25" s="52"/>
      <c r="AC25" s="52"/>
      <c r="AD25" s="48"/>
      <c r="AE25" s="48"/>
      <c r="AF25" s="48"/>
      <c r="AG25" s="48"/>
      <c r="AH25" s="48"/>
      <c r="AI25" s="48"/>
      <c r="AJ25" s="48"/>
      <c r="AK25" s="48"/>
      <c r="AL25" s="48"/>
    </row>
    <row r="26" spans="1:38" ht="12.75" customHeight="1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55"/>
      <c r="Q26" s="54"/>
      <c r="R26" s="53"/>
      <c r="S26" s="60"/>
      <c r="T26" s="52"/>
      <c r="U26" s="54">
        <v>11</v>
      </c>
      <c r="V26" s="53">
        <v>400</v>
      </c>
      <c r="W26" s="60">
        <v>2</v>
      </c>
      <c r="X26" s="52"/>
      <c r="Y26" s="52"/>
      <c r="Z26" s="52"/>
      <c r="AA26" s="52"/>
      <c r="AB26" s="52"/>
      <c r="AC26" s="52"/>
      <c r="AD26" s="48"/>
      <c r="AE26" s="48"/>
      <c r="AF26" s="48"/>
      <c r="AG26" s="48"/>
      <c r="AH26" s="48"/>
      <c r="AI26" s="48"/>
      <c r="AJ26" s="48"/>
      <c r="AK26" s="48"/>
      <c r="AL26" s="48"/>
    </row>
    <row r="27" spans="1:38" ht="12.75" customHeight="1" x14ac:dyDescent="0.3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55"/>
      <c r="Q27" s="54"/>
      <c r="R27" s="53"/>
      <c r="S27" s="60"/>
      <c r="T27" s="52"/>
      <c r="U27" s="54">
        <v>12</v>
      </c>
      <c r="V27" s="53">
        <v>800</v>
      </c>
      <c r="W27" s="60">
        <v>2</v>
      </c>
      <c r="X27" s="52"/>
      <c r="Y27" s="52"/>
      <c r="Z27" s="52"/>
      <c r="AA27" s="52"/>
      <c r="AB27" s="52"/>
      <c r="AC27" s="52"/>
      <c r="AD27" s="48"/>
      <c r="AE27" s="48"/>
      <c r="AF27" s="48"/>
      <c r="AG27" s="48"/>
      <c r="AH27" s="48"/>
      <c r="AI27" s="48"/>
      <c r="AJ27" s="48"/>
      <c r="AK27" s="48"/>
      <c r="AL27" s="48"/>
    </row>
    <row r="28" spans="1:38" ht="12.75" customHeight="1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55"/>
      <c r="Q28" s="54"/>
      <c r="R28" s="53"/>
      <c r="S28" s="60"/>
      <c r="T28" s="52"/>
      <c r="U28" s="54">
        <v>13</v>
      </c>
      <c r="V28" s="53">
        <v>1200</v>
      </c>
      <c r="W28" s="60">
        <v>2</v>
      </c>
      <c r="X28" s="52"/>
      <c r="Y28" s="52"/>
      <c r="Z28" s="52"/>
      <c r="AA28" s="52"/>
      <c r="AB28" s="52"/>
      <c r="AC28" s="52"/>
      <c r="AD28" s="48"/>
      <c r="AE28" s="48"/>
      <c r="AF28" s="48"/>
      <c r="AG28" s="48"/>
      <c r="AH28" s="48"/>
      <c r="AI28" s="48"/>
      <c r="AJ28" s="48"/>
      <c r="AK28" s="48"/>
      <c r="AL28" s="48"/>
    </row>
    <row r="29" spans="1:38" ht="12.75" customHeight="1" x14ac:dyDescent="0.3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55"/>
      <c r="Q29" s="54"/>
      <c r="R29" s="53"/>
      <c r="S29" s="60"/>
      <c r="T29" s="52"/>
      <c r="U29" s="54">
        <v>14</v>
      </c>
      <c r="V29" s="53">
        <v>1600</v>
      </c>
      <c r="W29" s="60">
        <v>2</v>
      </c>
      <c r="X29" s="52"/>
      <c r="Y29" s="52"/>
      <c r="Z29" s="52"/>
      <c r="AA29" s="52"/>
      <c r="AB29" s="52"/>
      <c r="AC29" s="52"/>
      <c r="AD29" s="48"/>
      <c r="AE29" s="48"/>
      <c r="AF29" s="48"/>
      <c r="AG29" s="48"/>
      <c r="AH29" s="48"/>
      <c r="AI29" s="48"/>
      <c r="AJ29" s="48"/>
      <c r="AK29" s="48"/>
      <c r="AL29" s="48"/>
    </row>
    <row r="30" spans="1:38" ht="12.75" customHeight="1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55"/>
      <c r="Q30" s="54"/>
      <c r="R30" s="53"/>
      <c r="S30" s="60"/>
      <c r="T30" s="52"/>
      <c r="U30" s="54">
        <v>15</v>
      </c>
      <c r="V30" s="53">
        <v>2000</v>
      </c>
      <c r="W30" s="60">
        <v>2</v>
      </c>
      <c r="X30" s="52"/>
      <c r="Y30" s="52"/>
      <c r="Z30" s="52"/>
      <c r="AA30" s="52"/>
      <c r="AB30" s="52"/>
      <c r="AC30" s="52"/>
      <c r="AD30" s="48"/>
      <c r="AE30" s="48"/>
      <c r="AF30" s="48"/>
      <c r="AG30" s="48"/>
      <c r="AH30" s="48"/>
      <c r="AI30" s="48"/>
      <c r="AJ30" s="48"/>
      <c r="AK30" s="48"/>
      <c r="AL30" s="48"/>
    </row>
    <row r="31" spans="1:38" ht="12.75" customHeight="1" x14ac:dyDescent="0.3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55"/>
      <c r="Q31" s="54"/>
      <c r="R31" s="54"/>
      <c r="S31" s="60"/>
      <c r="T31" s="52"/>
      <c r="U31" s="54"/>
      <c r="V31" s="53"/>
      <c r="W31" s="60"/>
      <c r="X31" s="52"/>
      <c r="Y31" s="52"/>
      <c r="Z31" s="52"/>
      <c r="AA31" s="52"/>
      <c r="AB31" s="52"/>
      <c r="AC31" s="52"/>
      <c r="AD31" s="48"/>
      <c r="AE31" s="48"/>
      <c r="AF31" s="48"/>
      <c r="AG31" s="48"/>
      <c r="AH31" s="48"/>
      <c r="AI31" s="48"/>
      <c r="AJ31" s="48"/>
      <c r="AK31" s="48"/>
      <c r="AL31" s="48"/>
    </row>
    <row r="32" spans="1:38" ht="12.75" customHeight="1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55"/>
      <c r="Q32" s="54"/>
      <c r="R32" s="54"/>
      <c r="S32" s="60"/>
      <c r="T32" s="52"/>
      <c r="U32" s="54"/>
      <c r="V32" s="53"/>
      <c r="W32" s="60"/>
      <c r="X32" s="57"/>
      <c r="Y32" s="52"/>
      <c r="Z32" s="52"/>
      <c r="AA32" s="52"/>
      <c r="AB32" s="52"/>
      <c r="AC32" s="52"/>
      <c r="AD32" s="48"/>
      <c r="AE32" s="48"/>
      <c r="AF32" s="48"/>
      <c r="AG32" s="48"/>
      <c r="AH32" s="48"/>
      <c r="AI32" s="48"/>
      <c r="AJ32" s="48"/>
      <c r="AK32" s="48"/>
      <c r="AL32" s="48"/>
    </row>
    <row r="33" spans="1:38" ht="12.75" customHeight="1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55"/>
      <c r="Q33" s="54"/>
      <c r="R33" s="54"/>
      <c r="S33" s="60"/>
      <c r="T33" s="52"/>
      <c r="U33" s="54"/>
      <c r="V33" s="53"/>
      <c r="W33" s="60"/>
      <c r="X33" s="52"/>
      <c r="Y33" s="52"/>
      <c r="Z33" s="52"/>
      <c r="AA33" s="52"/>
      <c r="AB33" s="52"/>
      <c r="AC33" s="52"/>
      <c r="AD33" s="48"/>
      <c r="AE33" s="48"/>
      <c r="AF33" s="48"/>
      <c r="AG33" s="48"/>
      <c r="AH33" s="48"/>
      <c r="AI33" s="48"/>
      <c r="AJ33" s="48"/>
      <c r="AK33" s="48"/>
      <c r="AL33" s="48"/>
    </row>
    <row r="34" spans="1:38" ht="12.75" customHeight="1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55"/>
      <c r="Q34" s="54"/>
      <c r="R34" s="54"/>
      <c r="S34" s="60"/>
      <c r="T34" s="52"/>
      <c r="U34" s="54"/>
      <c r="V34" s="53"/>
      <c r="W34" s="60"/>
      <c r="X34" s="52"/>
      <c r="Y34" s="52"/>
      <c r="Z34" s="52"/>
      <c r="AA34" s="52"/>
      <c r="AB34" s="52"/>
      <c r="AC34" s="52"/>
      <c r="AD34" s="48"/>
      <c r="AE34" s="48"/>
      <c r="AF34" s="48"/>
      <c r="AG34" s="48"/>
      <c r="AH34" s="48"/>
      <c r="AI34" s="48"/>
      <c r="AJ34" s="48"/>
      <c r="AK34" s="48"/>
      <c r="AL34" s="48"/>
    </row>
    <row r="35" spans="1:38" ht="12.75" customHeight="1" x14ac:dyDescent="0.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55"/>
      <c r="Q35" s="54"/>
      <c r="R35" s="54"/>
      <c r="S35" s="60"/>
      <c r="T35" s="52"/>
      <c r="U35" s="54"/>
      <c r="V35" s="53"/>
      <c r="W35" s="60"/>
      <c r="X35" s="52"/>
      <c r="Y35" s="52"/>
      <c r="Z35" s="52"/>
      <c r="AA35" s="52"/>
      <c r="AB35" s="52"/>
      <c r="AC35" s="52"/>
      <c r="AD35" s="48"/>
      <c r="AE35" s="48"/>
      <c r="AF35" s="48"/>
      <c r="AG35" s="48"/>
      <c r="AH35" s="48"/>
      <c r="AI35" s="48"/>
      <c r="AJ35" s="48"/>
      <c r="AK35" s="48"/>
      <c r="AL35" s="48"/>
    </row>
    <row r="36" spans="1:38" ht="12.75" customHeight="1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55"/>
      <c r="Q36" s="54"/>
      <c r="R36" s="54"/>
      <c r="S36" s="60"/>
      <c r="T36" s="52"/>
      <c r="U36" s="54"/>
      <c r="V36" s="53"/>
      <c r="W36" s="60"/>
      <c r="X36" s="52"/>
      <c r="Y36" s="52"/>
      <c r="Z36" s="52"/>
      <c r="AA36" s="52"/>
      <c r="AB36" s="52"/>
      <c r="AC36" s="52"/>
      <c r="AD36" s="48"/>
      <c r="AE36" s="48"/>
      <c r="AF36" s="48"/>
      <c r="AG36" s="48"/>
      <c r="AH36" s="48"/>
      <c r="AI36" s="48"/>
      <c r="AJ36" s="48"/>
      <c r="AK36" s="48"/>
      <c r="AL36" s="48"/>
    </row>
    <row r="37" spans="1:38" ht="12.75" customHeight="1" x14ac:dyDescent="0.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55"/>
      <c r="Q37" s="54"/>
      <c r="R37" s="54"/>
      <c r="S37" s="60"/>
      <c r="T37" s="52"/>
      <c r="U37" s="54"/>
      <c r="V37" s="53"/>
      <c r="W37" s="60"/>
      <c r="X37" s="52"/>
      <c r="Y37" s="52"/>
      <c r="Z37" s="52"/>
      <c r="AA37" s="52"/>
      <c r="AB37" s="52"/>
      <c r="AC37" s="52"/>
      <c r="AD37" s="48"/>
      <c r="AE37" s="48"/>
      <c r="AF37" s="48"/>
      <c r="AG37" s="48"/>
      <c r="AH37" s="48"/>
      <c r="AI37" s="48"/>
      <c r="AJ37" s="48"/>
      <c r="AK37" s="48"/>
      <c r="AL37" s="48"/>
    </row>
    <row r="38" spans="1:38" ht="12.75" customHeight="1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55"/>
      <c r="Q38" s="54"/>
      <c r="R38" s="54"/>
      <c r="S38" s="60"/>
      <c r="T38" s="52"/>
      <c r="U38" s="54"/>
      <c r="V38" s="53"/>
      <c r="W38" s="60"/>
      <c r="X38" s="52"/>
      <c r="Y38" s="52"/>
      <c r="Z38" s="52"/>
      <c r="AA38" s="52"/>
      <c r="AB38" s="52"/>
      <c r="AC38" s="52"/>
      <c r="AD38" s="48"/>
      <c r="AE38" s="48"/>
      <c r="AF38" s="48"/>
      <c r="AG38" s="48"/>
      <c r="AH38" s="48"/>
      <c r="AI38" s="48"/>
      <c r="AJ38" s="48"/>
      <c r="AK38" s="48"/>
      <c r="AL38" s="48"/>
    </row>
    <row r="39" spans="1:38" ht="12.75" customHeight="1" x14ac:dyDescent="0.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55"/>
      <c r="Q39" s="54"/>
      <c r="R39" s="54"/>
      <c r="S39" s="60"/>
      <c r="T39" s="52"/>
      <c r="U39" s="54"/>
      <c r="V39" s="53"/>
      <c r="W39" s="60"/>
      <c r="X39" s="52"/>
      <c r="Y39" s="52"/>
      <c r="Z39" s="52"/>
      <c r="AA39" s="52"/>
      <c r="AB39" s="52"/>
      <c r="AC39" s="52"/>
      <c r="AD39" s="48"/>
      <c r="AE39" s="48"/>
      <c r="AF39" s="48"/>
      <c r="AG39" s="48"/>
      <c r="AH39" s="48"/>
      <c r="AI39" s="48"/>
      <c r="AJ39" s="48"/>
      <c r="AK39" s="48"/>
      <c r="AL39" s="48"/>
    </row>
    <row r="40" spans="1:38" ht="12.75" customHeight="1" x14ac:dyDescent="0.3">
      <c r="A40" s="48"/>
      <c r="B40" s="48"/>
      <c r="C40" s="51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55"/>
      <c r="Q40" s="54"/>
      <c r="R40" s="54"/>
      <c r="S40" s="60"/>
      <c r="T40" s="52"/>
      <c r="U40" s="54"/>
      <c r="V40" s="53"/>
      <c r="W40" s="60"/>
      <c r="X40" s="52"/>
      <c r="Y40" s="52"/>
      <c r="Z40" s="52"/>
      <c r="AA40" s="52"/>
      <c r="AB40" s="52"/>
      <c r="AC40" s="52"/>
      <c r="AD40" s="48"/>
      <c r="AE40" s="48"/>
      <c r="AF40" s="48"/>
      <c r="AG40" s="48"/>
      <c r="AH40" s="48"/>
      <c r="AI40" s="48"/>
      <c r="AJ40" s="48"/>
      <c r="AK40" s="48"/>
      <c r="AL40" s="48"/>
    </row>
    <row r="41" spans="1:38" ht="12.75" customHeight="1" x14ac:dyDescent="0.3">
      <c r="A41" s="48"/>
      <c r="B41" s="48"/>
      <c r="C41" s="51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55"/>
      <c r="Q41" s="54"/>
      <c r="R41" s="54"/>
      <c r="S41" s="60"/>
      <c r="T41" s="52"/>
      <c r="U41" s="54"/>
      <c r="V41" s="53"/>
      <c r="W41" s="60"/>
      <c r="X41" s="52"/>
      <c r="Y41" s="52"/>
      <c r="Z41" s="52"/>
      <c r="AA41" s="52"/>
      <c r="AB41" s="52"/>
      <c r="AC41" s="52"/>
      <c r="AD41" s="48"/>
      <c r="AE41" s="48"/>
      <c r="AF41" s="48"/>
      <c r="AG41" s="48"/>
      <c r="AH41" s="48"/>
      <c r="AI41" s="48"/>
      <c r="AJ41" s="48"/>
      <c r="AK41" s="48"/>
      <c r="AL41" s="48"/>
    </row>
    <row r="42" spans="1:38" ht="12.75" customHeight="1" x14ac:dyDescent="0.3">
      <c r="A42" s="48"/>
      <c r="B42" s="48"/>
      <c r="C42" s="51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55"/>
      <c r="Q42" s="54"/>
      <c r="R42" s="54"/>
      <c r="S42" s="60"/>
      <c r="T42" s="52"/>
      <c r="U42" s="54"/>
      <c r="V42" s="53"/>
      <c r="W42" s="60"/>
      <c r="X42" s="52"/>
      <c r="Y42" s="52"/>
      <c r="Z42" s="52"/>
      <c r="AA42" s="52"/>
      <c r="AB42" s="52"/>
      <c r="AC42" s="52"/>
      <c r="AD42" s="48"/>
      <c r="AE42" s="48"/>
      <c r="AF42" s="48"/>
      <c r="AG42" s="48"/>
      <c r="AH42" s="48"/>
      <c r="AI42" s="48"/>
      <c r="AJ42" s="48"/>
      <c r="AK42" s="48"/>
      <c r="AL42" s="48"/>
    </row>
    <row r="43" spans="1:38" ht="12.75" customHeight="1" x14ac:dyDescent="0.3">
      <c r="A43" s="48"/>
      <c r="B43" s="48"/>
      <c r="C43" s="51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55"/>
      <c r="Q43" s="54"/>
      <c r="R43" s="54"/>
      <c r="S43" s="60"/>
      <c r="T43" s="52"/>
      <c r="U43" s="54"/>
      <c r="V43" s="53"/>
      <c r="W43" s="60"/>
      <c r="X43" s="52"/>
      <c r="Y43" s="52"/>
      <c r="Z43" s="52"/>
      <c r="AA43" s="52"/>
      <c r="AB43" s="52"/>
      <c r="AC43" s="52"/>
      <c r="AD43" s="48"/>
      <c r="AE43" s="48"/>
      <c r="AF43" s="48"/>
      <c r="AG43" s="48"/>
      <c r="AH43" s="48"/>
      <c r="AI43" s="48"/>
      <c r="AJ43" s="48"/>
      <c r="AK43" s="48"/>
      <c r="AL43" s="48"/>
    </row>
    <row r="44" spans="1:38" ht="12.75" customHeight="1" x14ac:dyDescent="0.3">
      <c r="A44" s="48"/>
      <c r="B44" s="48"/>
      <c r="C44" s="51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55"/>
      <c r="Q44" s="54"/>
      <c r="R44" s="54"/>
      <c r="S44" s="60"/>
      <c r="T44" s="52"/>
      <c r="U44" s="54"/>
      <c r="V44" s="53"/>
      <c r="W44" s="60"/>
      <c r="X44" s="52"/>
      <c r="Y44" s="52"/>
      <c r="Z44" s="52"/>
      <c r="AA44" s="52"/>
      <c r="AB44" s="52"/>
      <c r="AC44" s="52"/>
      <c r="AD44" s="48"/>
      <c r="AE44" s="48"/>
      <c r="AF44" s="48"/>
      <c r="AG44" s="48"/>
      <c r="AH44" s="48"/>
      <c r="AI44" s="48"/>
      <c r="AJ44" s="48"/>
      <c r="AK44" s="48"/>
      <c r="AL44" s="48"/>
    </row>
    <row r="45" spans="1:38" ht="12.75" customHeight="1" x14ac:dyDescent="0.3">
      <c r="A45" s="48"/>
      <c r="B45" s="48"/>
      <c r="C45" s="51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54"/>
      <c r="R45" s="54"/>
      <c r="S45" s="60"/>
      <c r="T45" s="52"/>
      <c r="U45" s="54"/>
      <c r="V45" s="53"/>
      <c r="W45" s="60"/>
      <c r="X45" s="52"/>
      <c r="Y45" s="52"/>
      <c r="Z45" s="52"/>
      <c r="AA45" s="52"/>
      <c r="AB45" s="52"/>
      <c r="AC45" s="52"/>
      <c r="AD45" s="48"/>
      <c r="AE45" s="48"/>
      <c r="AF45" s="48"/>
      <c r="AG45" s="48"/>
      <c r="AH45" s="48"/>
      <c r="AI45" s="48"/>
      <c r="AJ45" s="48"/>
      <c r="AK45" s="48"/>
      <c r="AL45" s="48"/>
    </row>
    <row r="46" spans="1:38" ht="12.75" customHeight="1" x14ac:dyDescent="0.3">
      <c r="A46" s="48"/>
      <c r="B46" s="48"/>
      <c r="C46" s="51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54"/>
      <c r="R46" s="54"/>
      <c r="S46" s="60"/>
      <c r="T46" s="52"/>
      <c r="U46" s="54"/>
      <c r="V46" s="53"/>
      <c r="W46" s="60"/>
      <c r="X46" s="52"/>
      <c r="Y46" s="52"/>
      <c r="Z46" s="52"/>
      <c r="AA46" s="52"/>
      <c r="AB46" s="52"/>
      <c r="AC46" s="52"/>
      <c r="AD46" s="48"/>
      <c r="AE46" s="48"/>
      <c r="AF46" s="48"/>
      <c r="AG46" s="48"/>
      <c r="AH46" s="48"/>
      <c r="AI46" s="48"/>
      <c r="AJ46" s="48"/>
      <c r="AK46" s="48"/>
      <c r="AL46" s="48"/>
    </row>
    <row r="47" spans="1:38" ht="12" customHeight="1" x14ac:dyDescent="0.3">
      <c r="A47" s="48"/>
      <c r="B47" s="48"/>
      <c r="C47" s="51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54"/>
      <c r="R47" s="54"/>
      <c r="S47" s="60"/>
      <c r="T47" s="52"/>
      <c r="U47" s="54"/>
      <c r="V47" s="53"/>
      <c r="W47" s="60"/>
      <c r="X47" s="52"/>
      <c r="Y47" s="52"/>
      <c r="Z47" s="52"/>
      <c r="AA47" s="52"/>
      <c r="AB47" s="52"/>
      <c r="AC47" s="52"/>
      <c r="AD47" s="48"/>
      <c r="AE47" s="48"/>
      <c r="AF47" s="48"/>
      <c r="AG47" s="48"/>
      <c r="AH47" s="48"/>
      <c r="AI47" s="48"/>
      <c r="AJ47" s="48"/>
      <c r="AK47" s="48"/>
      <c r="AL47" s="48"/>
    </row>
    <row r="48" spans="1:38" ht="12.75" hidden="1" customHeight="1" x14ac:dyDescent="0.3">
      <c r="A48" s="48"/>
      <c r="B48" s="48"/>
      <c r="C48" s="51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54"/>
      <c r="R48" s="54"/>
      <c r="S48" s="60"/>
      <c r="T48" s="52"/>
      <c r="U48" s="54"/>
      <c r="V48" s="53"/>
      <c r="W48" s="60"/>
      <c r="X48" s="52"/>
      <c r="Y48" s="52"/>
      <c r="Z48" s="52"/>
      <c r="AA48" s="52"/>
      <c r="AB48" s="52"/>
      <c r="AC48" s="52"/>
      <c r="AD48" s="48"/>
      <c r="AE48" s="48"/>
      <c r="AF48" s="48"/>
      <c r="AG48" s="48"/>
      <c r="AH48" s="48"/>
      <c r="AI48" s="48"/>
      <c r="AJ48" s="48"/>
      <c r="AK48" s="48"/>
      <c r="AL48" s="48"/>
    </row>
    <row r="49" spans="1:38" ht="12.75" customHeight="1" x14ac:dyDescent="0.25">
      <c r="A49" s="48"/>
      <c r="B49" s="48"/>
      <c r="C49" s="51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63"/>
      <c r="R49" s="63"/>
      <c r="S49" s="64"/>
      <c r="T49" s="48"/>
      <c r="U49" s="63"/>
      <c r="V49" s="65"/>
      <c r="W49" s="64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</row>
    <row r="50" spans="1:38" ht="12.75" customHeight="1" x14ac:dyDescent="0.25">
      <c r="A50" s="48"/>
      <c r="B50" s="48"/>
      <c r="C50" s="51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63"/>
      <c r="R50" s="63"/>
      <c r="S50" s="64"/>
      <c r="T50" s="48"/>
      <c r="U50" s="63"/>
      <c r="V50" s="65"/>
      <c r="W50" s="64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</row>
    <row r="51" spans="1:38" ht="12.75" customHeight="1" x14ac:dyDescent="0.25">
      <c r="A51" s="48"/>
      <c r="B51" s="48"/>
      <c r="C51" s="51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63"/>
      <c r="R51" s="63"/>
      <c r="S51" s="64"/>
      <c r="T51" s="48"/>
      <c r="U51" s="63"/>
      <c r="V51" s="65"/>
      <c r="W51" s="64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</row>
    <row r="52" spans="1:38" ht="12.75" customHeight="1" x14ac:dyDescent="0.25">
      <c r="A52" s="48"/>
      <c r="B52" s="48"/>
      <c r="C52" s="51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63"/>
      <c r="R52" s="63"/>
      <c r="S52" s="64"/>
      <c r="T52" s="48"/>
      <c r="U52" s="63"/>
      <c r="V52" s="65"/>
      <c r="W52" s="64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</row>
    <row r="53" spans="1:38" ht="12.75" customHeight="1" x14ac:dyDescent="0.25">
      <c r="A53" s="48"/>
      <c r="B53" s="48"/>
      <c r="C53" s="51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63"/>
      <c r="R53" s="63"/>
      <c r="S53" s="64"/>
      <c r="T53" s="48"/>
      <c r="U53" s="63"/>
      <c r="V53" s="65"/>
      <c r="W53" s="64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</row>
    <row r="54" spans="1:38" ht="12.75" customHeight="1" x14ac:dyDescent="0.25">
      <c r="A54" s="48"/>
      <c r="B54" s="48"/>
      <c r="C54" s="51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63"/>
      <c r="R54" s="63"/>
      <c r="S54" s="64"/>
      <c r="T54" s="48"/>
      <c r="U54" s="63"/>
      <c r="V54" s="65"/>
      <c r="W54" s="64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</row>
    <row r="55" spans="1:38" ht="12.75" customHeight="1" x14ac:dyDescent="0.25">
      <c r="A55" s="48"/>
      <c r="B55" s="48"/>
      <c r="C55" s="51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63"/>
      <c r="R55" s="63"/>
      <c r="S55" s="64"/>
      <c r="T55" s="48"/>
      <c r="U55" s="63"/>
      <c r="V55" s="65"/>
      <c r="W55" s="64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48"/>
    </row>
    <row r="56" spans="1:38" ht="12.75" customHeight="1" x14ac:dyDescent="0.25">
      <c r="A56" s="48"/>
      <c r="B56" s="48"/>
      <c r="C56" s="51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63"/>
      <c r="R56" s="63"/>
      <c r="S56" s="64"/>
      <c r="T56" s="48"/>
      <c r="U56" s="63"/>
      <c r="V56" s="65"/>
      <c r="W56" s="64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</row>
    <row r="57" spans="1:38" ht="12.75" customHeight="1" x14ac:dyDescent="0.25">
      <c r="A57" s="48"/>
      <c r="B57" s="48"/>
      <c r="C57" s="51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63"/>
      <c r="R57" s="63"/>
      <c r="S57" s="64"/>
      <c r="T57" s="48"/>
      <c r="U57" s="63"/>
      <c r="V57" s="65"/>
      <c r="W57" s="64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48"/>
    </row>
    <row r="58" spans="1:38" ht="12.75" customHeight="1" x14ac:dyDescent="0.25">
      <c r="A58" s="48"/>
      <c r="B58" s="48"/>
      <c r="C58" s="51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63"/>
      <c r="R58" s="63"/>
      <c r="S58" s="64"/>
      <c r="T58" s="48"/>
      <c r="U58" s="63"/>
      <c r="V58" s="65"/>
      <c r="W58" s="64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</row>
    <row r="59" spans="1:38" ht="12.75" customHeight="1" x14ac:dyDescent="0.25">
      <c r="A59" s="48"/>
      <c r="B59" s="48"/>
      <c r="C59" s="51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63"/>
      <c r="R59" s="63"/>
      <c r="S59" s="64"/>
      <c r="T59" s="48"/>
      <c r="U59" s="63"/>
      <c r="V59" s="65"/>
      <c r="W59" s="64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</row>
    <row r="60" spans="1:38" ht="12.75" customHeight="1" x14ac:dyDescent="0.25">
      <c r="A60" s="48"/>
      <c r="B60" s="48"/>
      <c r="C60" s="51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63"/>
      <c r="R60" s="63"/>
      <c r="S60" s="64"/>
      <c r="T60" s="48"/>
      <c r="U60" s="63"/>
      <c r="V60" s="65"/>
      <c r="W60" s="64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48"/>
    </row>
    <row r="61" spans="1:38" ht="12.75" customHeight="1" x14ac:dyDescent="0.25">
      <c r="A61" s="48"/>
      <c r="B61" s="48"/>
      <c r="C61" s="51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63"/>
      <c r="R61" s="63"/>
      <c r="S61" s="64"/>
      <c r="T61" s="48"/>
      <c r="U61" s="63"/>
      <c r="V61" s="65"/>
      <c r="W61" s="64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</row>
    <row r="62" spans="1:38" ht="12.75" customHeight="1" x14ac:dyDescent="0.25">
      <c r="A62" s="48"/>
      <c r="B62" s="48"/>
      <c r="C62" s="51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63"/>
      <c r="R62" s="63"/>
      <c r="S62" s="64"/>
      <c r="T62" s="48"/>
      <c r="U62" s="63"/>
      <c r="V62" s="65"/>
      <c r="W62" s="64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  <c r="AK62" s="48"/>
      <c r="AL62" s="48"/>
    </row>
    <row r="63" spans="1:38" ht="12.75" customHeight="1" x14ac:dyDescent="0.25">
      <c r="A63" s="48"/>
      <c r="B63" s="48"/>
      <c r="C63" s="51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63"/>
      <c r="R63" s="63"/>
      <c r="S63" s="64"/>
      <c r="T63" s="48"/>
      <c r="U63" s="63"/>
      <c r="V63" s="65"/>
      <c r="W63" s="64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</row>
    <row r="64" spans="1:38" ht="12.75" customHeight="1" x14ac:dyDescent="0.25">
      <c r="A64" s="48"/>
      <c r="B64" s="48"/>
      <c r="C64" s="51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63"/>
      <c r="R64" s="63"/>
      <c r="S64" s="64"/>
      <c r="T64" s="48"/>
      <c r="U64" s="63"/>
      <c r="V64" s="65"/>
      <c r="W64" s="64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</row>
    <row r="65" spans="1:38" ht="12.75" customHeight="1" x14ac:dyDescent="0.25">
      <c r="A65" s="48"/>
      <c r="B65" s="48"/>
      <c r="C65" s="51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63"/>
      <c r="R65" s="63"/>
      <c r="S65" s="64"/>
      <c r="T65" s="48"/>
      <c r="U65" s="63"/>
      <c r="V65" s="65"/>
      <c r="W65" s="64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</row>
    <row r="66" spans="1:38" ht="12.75" customHeight="1" x14ac:dyDescent="0.25">
      <c r="A66" s="48"/>
      <c r="B66" s="48"/>
      <c r="C66" s="51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63"/>
      <c r="R66" s="63"/>
      <c r="S66" s="64"/>
      <c r="T66" s="48"/>
      <c r="U66" s="63"/>
      <c r="V66" s="65"/>
      <c r="W66" s="64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</row>
    <row r="67" spans="1:38" ht="12.75" customHeight="1" x14ac:dyDescent="0.25">
      <c r="A67" s="48"/>
      <c r="B67" s="48"/>
      <c r="C67" s="51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63"/>
      <c r="R67" s="63"/>
      <c r="S67" s="64"/>
      <c r="T67" s="48"/>
      <c r="U67" s="63"/>
      <c r="V67" s="65"/>
      <c r="W67" s="64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</row>
    <row r="68" spans="1:38" ht="12.75" customHeight="1" x14ac:dyDescent="0.25">
      <c r="A68" s="48"/>
      <c r="B68" s="48"/>
      <c r="C68" s="51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63"/>
      <c r="R68" s="63"/>
      <c r="S68" s="64"/>
      <c r="T68" s="48"/>
      <c r="U68" s="63"/>
      <c r="V68" s="65"/>
      <c r="W68" s="64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</row>
    <row r="69" spans="1:38" ht="12.75" customHeight="1" x14ac:dyDescent="0.25">
      <c r="A69" s="48"/>
      <c r="B69" s="48"/>
      <c r="C69" s="51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63"/>
      <c r="R69" s="63"/>
      <c r="S69" s="64"/>
      <c r="T69" s="48"/>
      <c r="U69" s="63"/>
      <c r="V69" s="65"/>
      <c r="W69" s="64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</row>
    <row r="70" spans="1:38" ht="12.75" customHeight="1" x14ac:dyDescent="0.25">
      <c r="A70" s="48"/>
      <c r="B70" s="48"/>
      <c r="C70" s="51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63"/>
      <c r="R70" s="63"/>
      <c r="S70" s="64"/>
      <c r="T70" s="48"/>
      <c r="U70" s="63"/>
      <c r="V70" s="65"/>
      <c r="W70" s="64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</row>
    <row r="71" spans="1:38" ht="12.75" customHeight="1" x14ac:dyDescent="0.25">
      <c r="A71" s="48"/>
      <c r="B71" s="48"/>
      <c r="C71" s="51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63"/>
      <c r="R71" s="63"/>
      <c r="S71" s="64"/>
      <c r="T71" s="48"/>
      <c r="U71" s="63"/>
      <c r="V71" s="65"/>
      <c r="W71" s="64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</row>
    <row r="72" spans="1:38" ht="12.75" customHeight="1" x14ac:dyDescent="0.25">
      <c r="A72" s="48"/>
      <c r="B72" s="48"/>
      <c r="C72" s="51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63"/>
      <c r="R72" s="63"/>
      <c r="S72" s="64"/>
      <c r="T72" s="48"/>
      <c r="U72" s="63"/>
      <c r="V72" s="65"/>
      <c r="W72" s="64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</row>
    <row r="73" spans="1:38" ht="12.75" customHeight="1" x14ac:dyDescent="0.25">
      <c r="A73" s="48"/>
      <c r="B73" s="48"/>
      <c r="C73" s="51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63"/>
      <c r="R73" s="63"/>
      <c r="S73" s="64"/>
      <c r="T73" s="48"/>
      <c r="U73" s="63"/>
      <c r="V73" s="65"/>
      <c r="W73" s="64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</row>
    <row r="74" spans="1:38" ht="12.75" customHeight="1" x14ac:dyDescent="0.25">
      <c r="A74" s="48"/>
      <c r="B74" s="48"/>
      <c r="C74" s="51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63"/>
      <c r="R74" s="63"/>
      <c r="S74" s="64"/>
      <c r="T74" s="48"/>
      <c r="U74" s="63"/>
      <c r="V74" s="65"/>
      <c r="W74" s="64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</row>
    <row r="75" spans="1:38" ht="12.75" customHeight="1" x14ac:dyDescent="0.25">
      <c r="A75" s="48"/>
      <c r="B75" s="48"/>
      <c r="C75" s="51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63"/>
      <c r="R75" s="63"/>
      <c r="S75" s="64"/>
      <c r="T75" s="48"/>
      <c r="U75" s="63"/>
      <c r="V75" s="65"/>
      <c r="W75" s="64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</row>
    <row r="76" spans="1:38" ht="12.75" customHeight="1" x14ac:dyDescent="0.25">
      <c r="A76" s="48"/>
      <c r="B76" s="48"/>
      <c r="C76" s="51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63"/>
      <c r="R76" s="63"/>
      <c r="S76" s="64"/>
      <c r="T76" s="48"/>
      <c r="U76" s="63"/>
      <c r="V76" s="65"/>
      <c r="W76" s="64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</row>
    <row r="77" spans="1:38" ht="12.75" customHeight="1" x14ac:dyDescent="0.25">
      <c r="A77" s="48"/>
      <c r="B77" s="48"/>
      <c r="C77" s="51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63"/>
      <c r="R77" s="63"/>
      <c r="S77" s="64"/>
      <c r="T77" s="48"/>
      <c r="U77" s="63"/>
      <c r="V77" s="65"/>
      <c r="W77" s="64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</row>
    <row r="78" spans="1:38" ht="12.75" customHeight="1" x14ac:dyDescent="0.25">
      <c r="C78" s="47"/>
    </row>
    <row r="79" spans="1:38" ht="12.75" customHeight="1" x14ac:dyDescent="0.25">
      <c r="C79" s="47"/>
    </row>
    <row r="80" spans="1:38" ht="12.75" customHeight="1" x14ac:dyDescent="0.25">
      <c r="C80" s="47"/>
    </row>
    <row r="81" spans="3:3" ht="12.75" customHeight="1" x14ac:dyDescent="0.25">
      <c r="C81" s="47"/>
    </row>
    <row r="82" spans="3:3" ht="12.75" customHeight="1" x14ac:dyDescent="0.25">
      <c r="C82" s="47"/>
    </row>
    <row r="83" spans="3:3" ht="12.75" customHeight="1" x14ac:dyDescent="0.25">
      <c r="C83" s="47"/>
    </row>
    <row r="84" spans="3:3" ht="12.75" customHeight="1" x14ac:dyDescent="0.25">
      <c r="C84" s="47"/>
    </row>
    <row r="85" spans="3:3" ht="12.75" customHeight="1" x14ac:dyDescent="0.25">
      <c r="C85" s="47"/>
    </row>
    <row r="86" spans="3:3" ht="12.75" customHeight="1" x14ac:dyDescent="0.25">
      <c r="C86" s="47"/>
    </row>
    <row r="87" spans="3:3" ht="12.75" customHeight="1" x14ac:dyDescent="0.25">
      <c r="C87" s="47"/>
    </row>
    <row r="88" spans="3:3" ht="12.75" customHeight="1" x14ac:dyDescent="0.25">
      <c r="C88" s="47"/>
    </row>
    <row r="89" spans="3:3" ht="12.75" customHeight="1" x14ac:dyDescent="0.25">
      <c r="C89" s="47"/>
    </row>
    <row r="90" spans="3:3" ht="12.75" customHeight="1" x14ac:dyDescent="0.25">
      <c r="C90" s="47"/>
    </row>
    <row r="91" spans="3:3" ht="12.75" customHeight="1" x14ac:dyDescent="0.25">
      <c r="C91" s="47"/>
    </row>
    <row r="92" spans="3:3" ht="12.75" customHeight="1" x14ac:dyDescent="0.25">
      <c r="C92" s="47"/>
    </row>
    <row r="93" spans="3:3" ht="12.75" customHeight="1" x14ac:dyDescent="0.25">
      <c r="C93" s="47"/>
    </row>
    <row r="94" spans="3:3" ht="12.75" customHeight="1" x14ac:dyDescent="0.25">
      <c r="C94" s="47"/>
    </row>
    <row r="95" spans="3:3" ht="12.75" customHeight="1" x14ac:dyDescent="0.25">
      <c r="C95" s="47"/>
    </row>
    <row r="96" spans="3:3" ht="12.75" customHeight="1" x14ac:dyDescent="0.25">
      <c r="C96" s="47"/>
    </row>
    <row r="97" spans="3:3" ht="12.75" customHeight="1" x14ac:dyDescent="0.25">
      <c r="C97" s="47"/>
    </row>
    <row r="98" spans="3:3" ht="12.75" customHeight="1" x14ac:dyDescent="0.25">
      <c r="C98" s="47"/>
    </row>
    <row r="99" spans="3:3" ht="12.75" customHeight="1" x14ac:dyDescent="0.25">
      <c r="C99" s="47"/>
    </row>
    <row r="100" spans="3:3" ht="12.75" customHeight="1" x14ac:dyDescent="0.25">
      <c r="C100" s="47"/>
    </row>
    <row r="101" spans="3:3" ht="12.75" customHeight="1" x14ac:dyDescent="0.25">
      <c r="C101" s="47"/>
    </row>
    <row r="102" spans="3:3" ht="12.75" customHeight="1" x14ac:dyDescent="0.25">
      <c r="C102" s="47"/>
    </row>
    <row r="103" spans="3:3" ht="12.75" customHeight="1" x14ac:dyDescent="0.25">
      <c r="C103" s="47"/>
    </row>
    <row r="104" spans="3:3" ht="12.75" customHeight="1" x14ac:dyDescent="0.25">
      <c r="C104" s="47"/>
    </row>
    <row r="105" spans="3:3" ht="12.75" customHeight="1" x14ac:dyDescent="0.25">
      <c r="C105" s="47"/>
    </row>
    <row r="106" spans="3:3" ht="12.75" customHeight="1" x14ac:dyDescent="0.25">
      <c r="C106" s="47"/>
    </row>
    <row r="107" spans="3:3" ht="12.75" customHeight="1" x14ac:dyDescent="0.25">
      <c r="C107" s="47"/>
    </row>
    <row r="108" spans="3:3" ht="12.75" customHeight="1" x14ac:dyDescent="0.25">
      <c r="C108" s="47"/>
    </row>
    <row r="109" spans="3:3" ht="12.75" customHeight="1" x14ac:dyDescent="0.25">
      <c r="C109" s="47"/>
    </row>
    <row r="110" spans="3:3" ht="12.75" customHeight="1" x14ac:dyDescent="0.25">
      <c r="C110" s="47"/>
    </row>
    <row r="111" spans="3:3" ht="12.75" customHeight="1" x14ac:dyDescent="0.25">
      <c r="C111" s="47"/>
    </row>
    <row r="112" spans="3:3" ht="12.75" customHeight="1" x14ac:dyDescent="0.25">
      <c r="C112" s="47"/>
    </row>
    <row r="113" spans="3:3" ht="12.75" customHeight="1" x14ac:dyDescent="0.25">
      <c r="C113" s="47"/>
    </row>
    <row r="114" spans="3:3" ht="12.75" customHeight="1" x14ac:dyDescent="0.25">
      <c r="C114" s="47"/>
    </row>
    <row r="115" spans="3:3" ht="12.75" customHeight="1" x14ac:dyDescent="0.25">
      <c r="C115" s="47"/>
    </row>
    <row r="116" spans="3:3" ht="12.75" customHeight="1" x14ac:dyDescent="0.25">
      <c r="C116" s="47"/>
    </row>
    <row r="117" spans="3:3" ht="12.75" customHeight="1" x14ac:dyDescent="0.25">
      <c r="C117" s="47"/>
    </row>
    <row r="118" spans="3:3" ht="12.75" customHeight="1" x14ac:dyDescent="0.25">
      <c r="C118" s="47"/>
    </row>
    <row r="119" spans="3:3" ht="12.75" customHeight="1" x14ac:dyDescent="0.25">
      <c r="C119" s="47"/>
    </row>
    <row r="120" spans="3:3" ht="12.75" customHeight="1" x14ac:dyDescent="0.25">
      <c r="C120" s="47"/>
    </row>
    <row r="121" spans="3:3" ht="12.75" customHeight="1" x14ac:dyDescent="0.25">
      <c r="C121" s="47"/>
    </row>
    <row r="122" spans="3:3" ht="12.75" customHeight="1" x14ac:dyDescent="0.25">
      <c r="C122" s="47"/>
    </row>
    <row r="123" spans="3:3" ht="12.75" customHeight="1" x14ac:dyDescent="0.25">
      <c r="C123" s="47"/>
    </row>
    <row r="124" spans="3:3" ht="12.75" customHeight="1" x14ac:dyDescent="0.25">
      <c r="C124" s="47"/>
    </row>
    <row r="125" spans="3:3" ht="12.75" customHeight="1" x14ac:dyDescent="0.25">
      <c r="C125" s="47"/>
    </row>
    <row r="126" spans="3:3" ht="12.75" customHeight="1" x14ac:dyDescent="0.25">
      <c r="C126" s="47"/>
    </row>
    <row r="127" spans="3:3" ht="12.75" customHeight="1" x14ac:dyDescent="0.25">
      <c r="C127" s="47"/>
    </row>
    <row r="128" spans="3:3" ht="12.75" customHeight="1" x14ac:dyDescent="0.25">
      <c r="C128" s="47"/>
    </row>
    <row r="129" spans="3:3" ht="12.75" customHeight="1" x14ac:dyDescent="0.25">
      <c r="C129" s="47"/>
    </row>
    <row r="130" spans="3:3" ht="12.75" customHeight="1" x14ac:dyDescent="0.25">
      <c r="C130" s="47"/>
    </row>
    <row r="131" spans="3:3" ht="12.75" customHeight="1" x14ac:dyDescent="0.25">
      <c r="C131" s="47"/>
    </row>
    <row r="132" spans="3:3" ht="12.75" customHeight="1" x14ac:dyDescent="0.25">
      <c r="C132" s="47"/>
    </row>
    <row r="133" spans="3:3" ht="12.75" customHeight="1" x14ac:dyDescent="0.25">
      <c r="C133" s="47"/>
    </row>
    <row r="134" spans="3:3" ht="12.75" customHeight="1" x14ac:dyDescent="0.25">
      <c r="C134" s="47"/>
    </row>
    <row r="135" spans="3:3" ht="12.75" customHeight="1" x14ac:dyDescent="0.25">
      <c r="C135" s="47"/>
    </row>
    <row r="136" spans="3:3" ht="12.75" customHeight="1" x14ac:dyDescent="0.25">
      <c r="C136" s="47"/>
    </row>
    <row r="137" spans="3:3" ht="12.75" customHeight="1" x14ac:dyDescent="0.25">
      <c r="C137" s="47"/>
    </row>
    <row r="138" spans="3:3" ht="12.75" customHeight="1" x14ac:dyDescent="0.25">
      <c r="C138" s="47"/>
    </row>
    <row r="139" spans="3:3" ht="12.75" customHeight="1" x14ac:dyDescent="0.25">
      <c r="C139" s="47"/>
    </row>
    <row r="140" spans="3:3" ht="12.75" customHeight="1" x14ac:dyDescent="0.25">
      <c r="C140" s="47"/>
    </row>
    <row r="141" spans="3:3" ht="12.75" customHeight="1" x14ac:dyDescent="0.25">
      <c r="C141" s="47"/>
    </row>
    <row r="142" spans="3:3" ht="12.75" customHeight="1" x14ac:dyDescent="0.25">
      <c r="C142" s="47"/>
    </row>
    <row r="143" spans="3:3" ht="12.75" customHeight="1" x14ac:dyDescent="0.25">
      <c r="C143" s="47"/>
    </row>
    <row r="144" spans="3:3" ht="12.75" customHeight="1" x14ac:dyDescent="0.25">
      <c r="C144" s="47"/>
    </row>
    <row r="145" spans="3:3" ht="12.75" customHeight="1" x14ac:dyDescent="0.25">
      <c r="C145" s="47"/>
    </row>
    <row r="146" spans="3:3" ht="12.75" customHeight="1" x14ac:dyDescent="0.25">
      <c r="C146" s="47"/>
    </row>
    <row r="147" spans="3:3" ht="12.75" customHeight="1" x14ac:dyDescent="0.25">
      <c r="C147" s="47"/>
    </row>
    <row r="148" spans="3:3" ht="12.75" customHeight="1" x14ac:dyDescent="0.25">
      <c r="C148" s="47"/>
    </row>
    <row r="149" spans="3:3" ht="12.75" customHeight="1" x14ac:dyDescent="0.25">
      <c r="C149" s="47"/>
    </row>
    <row r="150" spans="3:3" ht="12.75" customHeight="1" x14ac:dyDescent="0.25">
      <c r="C150" s="47"/>
    </row>
    <row r="151" spans="3:3" ht="12.75" customHeight="1" x14ac:dyDescent="0.25">
      <c r="C151" s="47"/>
    </row>
    <row r="152" spans="3:3" ht="12.75" customHeight="1" x14ac:dyDescent="0.25">
      <c r="C152" s="47"/>
    </row>
    <row r="153" spans="3:3" ht="12.75" customHeight="1" x14ac:dyDescent="0.25">
      <c r="C153" s="47"/>
    </row>
    <row r="154" spans="3:3" ht="12.75" customHeight="1" x14ac:dyDescent="0.25">
      <c r="C154" s="47"/>
    </row>
    <row r="155" spans="3:3" ht="12.75" customHeight="1" x14ac:dyDescent="0.25">
      <c r="C155" s="47"/>
    </row>
    <row r="156" spans="3:3" ht="12.75" customHeight="1" x14ac:dyDescent="0.25">
      <c r="C156" s="47"/>
    </row>
    <row r="157" spans="3:3" ht="12.75" customHeight="1" x14ac:dyDescent="0.25">
      <c r="C157" s="47"/>
    </row>
    <row r="158" spans="3:3" ht="12.75" customHeight="1" x14ac:dyDescent="0.25">
      <c r="C158" s="47"/>
    </row>
    <row r="159" spans="3:3" ht="12.75" customHeight="1" x14ac:dyDescent="0.25">
      <c r="C159" s="47"/>
    </row>
    <row r="160" spans="3:3" ht="12.75" customHeight="1" x14ac:dyDescent="0.25">
      <c r="C160" s="47"/>
    </row>
    <row r="161" spans="3:3" ht="12.75" customHeight="1" x14ac:dyDescent="0.25">
      <c r="C161" s="47"/>
    </row>
    <row r="162" spans="3:3" ht="12.75" customHeight="1" x14ac:dyDescent="0.25">
      <c r="C162" s="47"/>
    </row>
    <row r="163" spans="3:3" ht="12.75" customHeight="1" x14ac:dyDescent="0.25">
      <c r="C163" s="47"/>
    </row>
    <row r="164" spans="3:3" ht="12.75" customHeight="1" x14ac:dyDescent="0.25">
      <c r="C164" s="47"/>
    </row>
    <row r="165" spans="3:3" ht="12.75" customHeight="1" x14ac:dyDescent="0.25">
      <c r="C165" s="47"/>
    </row>
    <row r="166" spans="3:3" ht="12.75" customHeight="1" x14ac:dyDescent="0.25">
      <c r="C166" s="47"/>
    </row>
    <row r="167" spans="3:3" ht="12.75" customHeight="1" x14ac:dyDescent="0.25">
      <c r="C167" s="47"/>
    </row>
    <row r="168" spans="3:3" ht="12.75" customHeight="1" x14ac:dyDescent="0.25">
      <c r="C168" s="47"/>
    </row>
    <row r="169" spans="3:3" ht="12.75" customHeight="1" x14ac:dyDescent="0.25">
      <c r="C169" s="47"/>
    </row>
    <row r="170" spans="3:3" ht="12.75" customHeight="1" x14ac:dyDescent="0.25">
      <c r="C170" s="47"/>
    </row>
    <row r="171" spans="3:3" ht="12.75" customHeight="1" x14ac:dyDescent="0.25">
      <c r="C171" s="47"/>
    </row>
    <row r="172" spans="3:3" ht="12.75" customHeight="1" x14ac:dyDescent="0.25">
      <c r="C172" s="47"/>
    </row>
    <row r="173" spans="3:3" ht="12.75" customHeight="1" x14ac:dyDescent="0.25">
      <c r="C173" s="47"/>
    </row>
    <row r="174" spans="3:3" ht="12.75" customHeight="1" x14ac:dyDescent="0.25">
      <c r="C174" s="47"/>
    </row>
    <row r="175" spans="3:3" ht="12.75" customHeight="1" x14ac:dyDescent="0.25">
      <c r="C175" s="47"/>
    </row>
    <row r="176" spans="3:3" ht="12.75" customHeight="1" x14ac:dyDescent="0.25">
      <c r="C176" s="47"/>
    </row>
    <row r="177" spans="3:3" ht="12.75" customHeight="1" x14ac:dyDescent="0.25">
      <c r="C177" s="47"/>
    </row>
    <row r="178" spans="3:3" ht="12.75" customHeight="1" x14ac:dyDescent="0.25">
      <c r="C178" s="47"/>
    </row>
    <row r="179" spans="3:3" ht="12.75" customHeight="1" x14ac:dyDescent="0.25">
      <c r="C179" s="47"/>
    </row>
    <row r="180" spans="3:3" ht="12.75" customHeight="1" x14ac:dyDescent="0.25">
      <c r="C180" s="47"/>
    </row>
    <row r="181" spans="3:3" ht="12.75" customHeight="1" x14ac:dyDescent="0.25">
      <c r="C181" s="47"/>
    </row>
    <row r="182" spans="3:3" ht="12.75" customHeight="1" x14ac:dyDescent="0.25">
      <c r="C182" s="47"/>
    </row>
    <row r="183" spans="3:3" ht="12.75" customHeight="1" x14ac:dyDescent="0.25">
      <c r="C183" s="47"/>
    </row>
    <row r="184" spans="3:3" ht="12.75" customHeight="1" x14ac:dyDescent="0.25">
      <c r="C184" s="47"/>
    </row>
    <row r="185" spans="3:3" ht="12.75" customHeight="1" x14ac:dyDescent="0.25">
      <c r="C185" s="47"/>
    </row>
    <row r="186" spans="3:3" ht="12.75" customHeight="1" x14ac:dyDescent="0.25">
      <c r="C186" s="47"/>
    </row>
    <row r="187" spans="3:3" ht="12.75" customHeight="1" x14ac:dyDescent="0.25">
      <c r="C187" s="47"/>
    </row>
    <row r="188" spans="3:3" ht="12.75" customHeight="1" x14ac:dyDescent="0.25">
      <c r="C188" s="47"/>
    </row>
    <row r="189" spans="3:3" ht="12.75" customHeight="1" x14ac:dyDescent="0.25">
      <c r="C189" s="47"/>
    </row>
    <row r="190" spans="3:3" ht="12.75" customHeight="1" x14ac:dyDescent="0.25">
      <c r="C190" s="47"/>
    </row>
    <row r="191" spans="3:3" ht="12.75" customHeight="1" x14ac:dyDescent="0.25">
      <c r="C191" s="47"/>
    </row>
    <row r="192" spans="3:3" ht="12.75" customHeight="1" x14ac:dyDescent="0.25">
      <c r="C192" s="47"/>
    </row>
    <row r="193" spans="3:3" ht="12.75" customHeight="1" x14ac:dyDescent="0.25">
      <c r="C193" s="47"/>
    </row>
    <row r="194" spans="3:3" ht="12.75" customHeight="1" x14ac:dyDescent="0.25">
      <c r="C194" s="47"/>
    </row>
    <row r="195" spans="3:3" ht="12.75" customHeight="1" x14ac:dyDescent="0.25">
      <c r="C195" s="47"/>
    </row>
    <row r="196" spans="3:3" ht="12.75" customHeight="1" x14ac:dyDescent="0.25">
      <c r="C196" s="47"/>
    </row>
    <row r="197" spans="3:3" ht="12.75" customHeight="1" x14ac:dyDescent="0.25">
      <c r="C197" s="47"/>
    </row>
    <row r="198" spans="3:3" ht="12.75" customHeight="1" x14ac:dyDescent="0.25">
      <c r="C198" s="47"/>
    </row>
    <row r="199" spans="3:3" ht="12.75" customHeight="1" x14ac:dyDescent="0.25">
      <c r="C199" s="47"/>
    </row>
    <row r="200" spans="3:3" ht="12.75" customHeight="1" x14ac:dyDescent="0.25">
      <c r="C200" s="47"/>
    </row>
    <row r="201" spans="3:3" ht="12.75" customHeight="1" x14ac:dyDescent="0.25">
      <c r="C201" s="47"/>
    </row>
    <row r="202" spans="3:3" ht="12.75" customHeight="1" x14ac:dyDescent="0.25">
      <c r="C202" s="47"/>
    </row>
    <row r="203" spans="3:3" ht="12.75" customHeight="1" x14ac:dyDescent="0.25">
      <c r="C203" s="47"/>
    </row>
    <row r="204" spans="3:3" ht="12.75" customHeight="1" x14ac:dyDescent="0.25">
      <c r="C204" s="47"/>
    </row>
    <row r="205" spans="3:3" ht="12.75" customHeight="1" x14ac:dyDescent="0.25">
      <c r="C205" s="47"/>
    </row>
    <row r="206" spans="3:3" ht="12.75" customHeight="1" x14ac:dyDescent="0.25">
      <c r="C206" s="47"/>
    </row>
    <row r="207" spans="3:3" ht="12.75" customHeight="1" x14ac:dyDescent="0.25">
      <c r="C207" s="47"/>
    </row>
    <row r="208" spans="3:3" ht="12.75" customHeight="1" x14ac:dyDescent="0.25">
      <c r="C208" s="47"/>
    </row>
    <row r="209" spans="3:3" ht="12.75" customHeight="1" x14ac:dyDescent="0.25">
      <c r="C209" s="47"/>
    </row>
    <row r="210" spans="3:3" ht="12.75" customHeight="1" x14ac:dyDescent="0.25">
      <c r="C210" s="47"/>
    </row>
    <row r="211" spans="3:3" ht="12.75" customHeight="1" x14ac:dyDescent="0.25">
      <c r="C211" s="47"/>
    </row>
    <row r="212" spans="3:3" ht="12.75" customHeight="1" x14ac:dyDescent="0.25">
      <c r="C212" s="47"/>
    </row>
  </sheetData>
  <mergeCells count="3">
    <mergeCell ref="R10:S10"/>
    <mergeCell ref="V10:W10"/>
    <mergeCell ref="T14:U1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3748" r:id="rId4" name="but_ChangeSize">
          <controlPr defaultSize="0" autoLine="0" r:id="rId5">
            <anchor moveWithCells="1">
              <from>
                <xdr:col>31</xdr:col>
                <xdr:colOff>266700</xdr:colOff>
                <xdr:row>2</xdr:row>
                <xdr:rowOff>114300</xdr:rowOff>
              </from>
              <to>
                <xdr:col>34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73748" r:id="rId4" name="but_ChangeSize"/>
      </mc:Fallback>
    </mc:AlternateContent>
    <mc:AlternateContent xmlns:mc="http://schemas.openxmlformats.org/markup-compatibility/2006">
      <mc:Choice Requires="x14">
        <control shapeId="73747" r:id="rId6" name="ListBox1">
          <controlPr defaultSize="0" autoLine="0" listFillRange="AD1:AD4" r:id="rId7">
            <anchor moveWithCells="1">
              <from>
                <xdr:col>15</xdr:col>
                <xdr:colOff>0</xdr:colOff>
                <xdr:row>1</xdr:row>
                <xdr:rowOff>28575</xdr:rowOff>
              </from>
              <to>
                <xdr:col>16</xdr:col>
                <xdr:colOff>504825</xdr:colOff>
                <xdr:row>4</xdr:row>
                <xdr:rowOff>76200</xdr:rowOff>
              </to>
            </anchor>
          </controlPr>
        </control>
      </mc:Choice>
      <mc:Fallback>
        <control shapeId="73747" r:id="rId6" name="ListBox1"/>
      </mc:Fallback>
    </mc:AlternateContent>
    <mc:AlternateContent xmlns:mc="http://schemas.openxmlformats.org/markup-compatibility/2006">
      <mc:Choice Requires="x14">
        <control shapeId="73745" r:id="rId8" name="but_p2_5">
          <controlPr defaultSize="0" autoFill="0" autoLine="0" r:id="rId9">
            <anchor moveWithCells="1">
              <from>
                <xdr:col>12</xdr:col>
                <xdr:colOff>200025</xdr:colOff>
                <xdr:row>37</xdr:row>
                <xdr:rowOff>0</xdr:rowOff>
              </from>
              <to>
                <xdr:col>14</xdr:col>
                <xdr:colOff>247650</xdr:colOff>
                <xdr:row>40</xdr:row>
                <xdr:rowOff>19050</xdr:rowOff>
              </to>
            </anchor>
          </controlPr>
        </control>
      </mc:Choice>
      <mc:Fallback>
        <control shapeId="73745" r:id="rId8" name="but_p2_5"/>
      </mc:Fallback>
    </mc:AlternateContent>
    <mc:AlternateContent xmlns:mc="http://schemas.openxmlformats.org/markup-compatibility/2006">
      <mc:Choice Requires="x14">
        <control shapeId="73744" r:id="rId10" name="but_p2_4">
          <controlPr defaultSize="0" autoFill="0" autoLine="0" r:id="rId11">
            <anchor moveWithCells="1">
              <from>
                <xdr:col>12</xdr:col>
                <xdr:colOff>200025</xdr:colOff>
                <xdr:row>33</xdr:row>
                <xdr:rowOff>123825</xdr:rowOff>
              </from>
              <to>
                <xdr:col>14</xdr:col>
                <xdr:colOff>247650</xdr:colOff>
                <xdr:row>36</xdr:row>
                <xdr:rowOff>142875</xdr:rowOff>
              </to>
            </anchor>
          </controlPr>
        </control>
      </mc:Choice>
      <mc:Fallback>
        <control shapeId="73744" r:id="rId10" name="but_p2_4"/>
      </mc:Fallback>
    </mc:AlternateContent>
    <mc:AlternateContent xmlns:mc="http://schemas.openxmlformats.org/markup-compatibility/2006">
      <mc:Choice Requires="x14">
        <control shapeId="73743" r:id="rId12" name="but_p2_3">
          <controlPr defaultSize="0" autoFill="0" autoLine="0" r:id="rId13">
            <anchor moveWithCells="1">
              <from>
                <xdr:col>12</xdr:col>
                <xdr:colOff>200025</xdr:colOff>
                <xdr:row>30</xdr:row>
                <xdr:rowOff>57150</xdr:rowOff>
              </from>
              <to>
                <xdr:col>14</xdr:col>
                <xdr:colOff>247650</xdr:colOff>
                <xdr:row>33</xdr:row>
                <xdr:rowOff>85725</xdr:rowOff>
              </to>
            </anchor>
          </controlPr>
        </control>
      </mc:Choice>
      <mc:Fallback>
        <control shapeId="73743" r:id="rId12" name="but_p2_3"/>
      </mc:Fallback>
    </mc:AlternateContent>
    <mc:AlternateContent xmlns:mc="http://schemas.openxmlformats.org/markup-compatibility/2006">
      <mc:Choice Requires="x14">
        <control shapeId="73742" r:id="rId14" name="but_p2_2">
          <controlPr defaultSize="0" autoFill="0" autoLine="0" r:id="rId15">
            <anchor moveWithCells="1">
              <from>
                <xdr:col>12</xdr:col>
                <xdr:colOff>209550</xdr:colOff>
                <xdr:row>27</xdr:row>
                <xdr:rowOff>0</xdr:rowOff>
              </from>
              <to>
                <xdr:col>14</xdr:col>
                <xdr:colOff>257175</xdr:colOff>
                <xdr:row>30</xdr:row>
                <xdr:rowOff>19050</xdr:rowOff>
              </to>
            </anchor>
          </controlPr>
        </control>
      </mc:Choice>
      <mc:Fallback>
        <control shapeId="73742" r:id="rId14" name="but_p2_2"/>
      </mc:Fallback>
    </mc:AlternateContent>
    <mc:AlternateContent xmlns:mc="http://schemas.openxmlformats.org/markup-compatibility/2006">
      <mc:Choice Requires="x14">
        <control shapeId="73741" r:id="rId16" name="but_p2_1">
          <controlPr defaultSize="0" autoFill="0" autoLine="0" r:id="rId17">
            <anchor moveWithCells="1">
              <from>
                <xdr:col>12</xdr:col>
                <xdr:colOff>200025</xdr:colOff>
                <xdr:row>23</xdr:row>
                <xdr:rowOff>95250</xdr:rowOff>
              </from>
              <to>
                <xdr:col>14</xdr:col>
                <xdr:colOff>247650</xdr:colOff>
                <xdr:row>26</xdr:row>
                <xdr:rowOff>114300</xdr:rowOff>
              </to>
            </anchor>
          </controlPr>
        </control>
      </mc:Choice>
      <mc:Fallback>
        <control shapeId="73741" r:id="rId16" name="but_p2_1"/>
      </mc:Fallback>
    </mc:AlternateContent>
    <mc:AlternateContent xmlns:mc="http://schemas.openxmlformats.org/markup-compatibility/2006">
      <mc:Choice Requires="x14">
        <control shapeId="73740" r:id="rId18" name="but_p1_5">
          <controlPr defaultSize="0" autoFill="0" autoLine="0" r:id="rId19">
            <anchor moveWithCells="1">
              <from>
                <xdr:col>6</xdr:col>
                <xdr:colOff>371475</xdr:colOff>
                <xdr:row>36</xdr:row>
                <xdr:rowOff>114300</xdr:rowOff>
              </from>
              <to>
                <xdr:col>8</xdr:col>
                <xdr:colOff>419100</xdr:colOff>
                <xdr:row>39</xdr:row>
                <xdr:rowOff>133350</xdr:rowOff>
              </to>
            </anchor>
          </controlPr>
        </control>
      </mc:Choice>
      <mc:Fallback>
        <control shapeId="73740" r:id="rId18" name="but_p1_5"/>
      </mc:Fallback>
    </mc:AlternateContent>
    <mc:AlternateContent xmlns:mc="http://schemas.openxmlformats.org/markup-compatibility/2006">
      <mc:Choice Requires="x14">
        <control shapeId="73739" r:id="rId20" name="but_p1_4">
          <controlPr defaultSize="0" autoFill="0" autoLine="0" r:id="rId21">
            <anchor moveWithCells="1">
              <from>
                <xdr:col>6</xdr:col>
                <xdr:colOff>371475</xdr:colOff>
                <xdr:row>33</xdr:row>
                <xdr:rowOff>57150</xdr:rowOff>
              </from>
              <to>
                <xdr:col>8</xdr:col>
                <xdr:colOff>419100</xdr:colOff>
                <xdr:row>36</xdr:row>
                <xdr:rowOff>76200</xdr:rowOff>
              </to>
            </anchor>
          </controlPr>
        </control>
      </mc:Choice>
      <mc:Fallback>
        <control shapeId="73739" r:id="rId20" name="but_p1_4"/>
      </mc:Fallback>
    </mc:AlternateContent>
    <mc:AlternateContent xmlns:mc="http://schemas.openxmlformats.org/markup-compatibility/2006">
      <mc:Choice Requires="x14">
        <control shapeId="73738" r:id="rId22" name="but_p1_3">
          <controlPr defaultSize="0" autoFill="0" autoLine="0" r:id="rId23">
            <anchor moveWithCells="1">
              <from>
                <xdr:col>6</xdr:col>
                <xdr:colOff>371475</xdr:colOff>
                <xdr:row>30</xdr:row>
                <xdr:rowOff>0</xdr:rowOff>
              </from>
              <to>
                <xdr:col>8</xdr:col>
                <xdr:colOff>419100</xdr:colOff>
                <xdr:row>33</xdr:row>
                <xdr:rowOff>19050</xdr:rowOff>
              </to>
            </anchor>
          </controlPr>
        </control>
      </mc:Choice>
      <mc:Fallback>
        <control shapeId="73738" r:id="rId22" name="but_p1_3"/>
      </mc:Fallback>
    </mc:AlternateContent>
    <mc:AlternateContent xmlns:mc="http://schemas.openxmlformats.org/markup-compatibility/2006">
      <mc:Choice Requires="x14">
        <control shapeId="73737" r:id="rId24" name="but_p1_2">
          <controlPr defaultSize="0" autoFill="0" autoLine="0" r:id="rId25">
            <anchor moveWithCells="1">
              <from>
                <xdr:col>6</xdr:col>
                <xdr:colOff>371475</xdr:colOff>
                <xdr:row>26</xdr:row>
                <xdr:rowOff>114300</xdr:rowOff>
              </from>
              <to>
                <xdr:col>8</xdr:col>
                <xdr:colOff>419100</xdr:colOff>
                <xdr:row>29</xdr:row>
                <xdr:rowOff>133350</xdr:rowOff>
              </to>
            </anchor>
          </controlPr>
        </control>
      </mc:Choice>
      <mc:Fallback>
        <control shapeId="73737" r:id="rId24" name="but_p1_2"/>
      </mc:Fallback>
    </mc:AlternateContent>
    <mc:AlternateContent xmlns:mc="http://schemas.openxmlformats.org/markup-compatibility/2006">
      <mc:Choice Requires="x14">
        <control shapeId="73732" r:id="rId26" name="but_p1_1">
          <controlPr defaultSize="0" autoFill="0" autoLine="0" r:id="rId27">
            <anchor moveWithCells="1">
              <from>
                <xdr:col>6</xdr:col>
                <xdr:colOff>381000</xdr:colOff>
                <xdr:row>23</xdr:row>
                <xdr:rowOff>57150</xdr:rowOff>
              </from>
              <to>
                <xdr:col>8</xdr:col>
                <xdr:colOff>428625</xdr:colOff>
                <xdr:row>26</xdr:row>
                <xdr:rowOff>76200</xdr:rowOff>
              </to>
            </anchor>
          </controlPr>
        </control>
      </mc:Choice>
      <mc:Fallback>
        <control shapeId="73732" r:id="rId26" name="but_p1_1"/>
      </mc:Fallback>
    </mc:AlternateContent>
    <mc:AlternateContent xmlns:mc="http://schemas.openxmlformats.org/markup-compatibility/2006">
      <mc:Choice Requires="x14">
        <control shapeId="73750" r:id="rId28" name="but_StartGame">
          <controlPr defaultSize="0" autoLine="0" r:id="rId29">
            <anchor moveWithCells="1">
              <from>
                <xdr:col>17</xdr:col>
                <xdr:colOff>485775</xdr:colOff>
                <xdr:row>1</xdr:row>
                <xdr:rowOff>28575</xdr:rowOff>
              </from>
              <to>
                <xdr:col>22</xdr:col>
                <xdr:colOff>19050</xdr:colOff>
                <xdr:row>7</xdr:row>
                <xdr:rowOff>104775</xdr:rowOff>
              </to>
            </anchor>
          </controlPr>
        </control>
      </mc:Choice>
      <mc:Fallback>
        <control shapeId="73750" r:id="rId28" name="but_StartGame"/>
      </mc:Fallback>
    </mc:AlternateContent>
    <mc:AlternateContent xmlns:mc="http://schemas.openxmlformats.org/markup-compatibility/2006">
      <mc:Choice Requires="x14">
        <control shapeId="73751" r:id="rId30" name="but_SaveGame">
          <controlPr defaultSize="0" autoLine="0" r:id="rId31">
            <anchor moveWithCells="1">
              <from>
                <xdr:col>23</xdr:col>
                <xdr:colOff>133350</xdr:colOff>
                <xdr:row>30</xdr:row>
                <xdr:rowOff>57150</xdr:rowOff>
              </from>
              <to>
                <xdr:col>27</xdr:col>
                <xdr:colOff>571500</xdr:colOff>
                <xdr:row>36</xdr:row>
                <xdr:rowOff>133350</xdr:rowOff>
              </to>
            </anchor>
          </controlPr>
        </control>
      </mc:Choice>
      <mc:Fallback>
        <control shapeId="73751" r:id="rId30" name="but_SaveGam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T93"/>
  <sheetViews>
    <sheetView topLeftCell="A81" workbookViewId="0">
      <selection activeCell="M94" sqref="M94"/>
    </sheetView>
  </sheetViews>
  <sheetFormatPr defaultRowHeight="15" x14ac:dyDescent="0.25"/>
  <cols>
    <col min="1" max="1" width="6.140625" style="66" bestFit="1" customWidth="1"/>
    <col min="2" max="2" width="21.7109375" style="75" bestFit="1" customWidth="1"/>
    <col min="3" max="4" width="9.7109375" style="66" bestFit="1" customWidth="1"/>
    <col min="5" max="6" width="8.140625" style="66" bestFit="1" customWidth="1"/>
    <col min="7" max="7" width="7.28515625" style="66" bestFit="1" customWidth="1"/>
    <col min="8" max="8" width="8.28515625" style="68" bestFit="1" customWidth="1"/>
    <col min="9" max="10" width="9.85546875" style="66" bestFit="1" customWidth="1"/>
    <col min="11" max="12" width="8.140625" style="66" bestFit="1" customWidth="1"/>
    <col min="13" max="13" width="8" style="66" bestFit="1" customWidth="1"/>
    <col min="14" max="14" width="9.28515625" style="68" bestFit="1" customWidth="1"/>
    <col min="15" max="15" width="9.140625" style="66"/>
    <col min="16" max="16" width="10.140625" style="66" bestFit="1" customWidth="1"/>
    <col min="17" max="19" width="9.140625" style="66"/>
    <col min="20" max="20" width="11.7109375" style="66" customWidth="1"/>
    <col min="21" max="16384" width="9.140625" style="66"/>
  </cols>
  <sheetData>
    <row r="1" spans="1:20" x14ac:dyDescent="0.25">
      <c r="B1" s="68"/>
      <c r="C1" s="66" t="s">
        <v>17</v>
      </c>
      <c r="J1" s="66" t="s">
        <v>16</v>
      </c>
      <c r="Q1" s="66" t="s">
        <v>17</v>
      </c>
      <c r="R1" s="66" t="s">
        <v>16</v>
      </c>
    </row>
    <row r="2" spans="1:20" x14ac:dyDescent="0.25">
      <c r="A2" s="66" t="s">
        <v>13</v>
      </c>
      <c r="B2" s="68" t="s">
        <v>99</v>
      </c>
      <c r="C2" s="66" t="s">
        <v>96</v>
      </c>
      <c r="D2" s="66" t="s">
        <v>97</v>
      </c>
      <c r="E2" s="66" t="s">
        <v>2</v>
      </c>
      <c r="F2" s="66" t="s">
        <v>3</v>
      </c>
      <c r="G2" s="66" t="s">
        <v>95</v>
      </c>
      <c r="H2" s="68" t="s">
        <v>98</v>
      </c>
      <c r="I2" s="66" t="s">
        <v>96</v>
      </c>
      <c r="J2" s="66" t="s">
        <v>97</v>
      </c>
      <c r="K2" s="66" t="s">
        <v>2</v>
      </c>
      <c r="L2" s="66" t="s">
        <v>3</v>
      </c>
      <c r="M2" s="66" t="s">
        <v>95</v>
      </c>
      <c r="N2" s="68" t="s">
        <v>98</v>
      </c>
      <c r="O2" s="66" t="s">
        <v>15</v>
      </c>
      <c r="Q2" s="67">
        <f>SUM(H3:H500)</f>
        <v>488202</v>
      </c>
      <c r="R2" s="67">
        <f>SUM(N3:N500)</f>
        <v>540805</v>
      </c>
      <c r="S2" s="67">
        <f>Q2-R2</f>
        <v>-52603</v>
      </c>
      <c r="T2" s="66" t="s">
        <v>102</v>
      </c>
    </row>
    <row r="3" spans="1:20" x14ac:dyDescent="0.25">
      <c r="A3" s="66">
        <v>1</v>
      </c>
      <c r="B3" s="74"/>
      <c r="C3" s="67">
        <v>8600</v>
      </c>
      <c r="D3" s="67"/>
      <c r="E3" s="66">
        <v>13</v>
      </c>
      <c r="G3" s="67"/>
      <c r="H3" s="69">
        <f>C3+D3+G3</f>
        <v>8600</v>
      </c>
      <c r="I3" s="67">
        <v>3200</v>
      </c>
      <c r="J3" s="67"/>
      <c r="K3" s="66">
        <v>7</v>
      </c>
      <c r="M3" s="67"/>
      <c r="N3" s="69">
        <f>I3+J3+M3</f>
        <v>3200</v>
      </c>
      <c r="O3" s="66" t="str">
        <f>IF(H3&gt;N3,$C$1,$J$1)</f>
        <v>Matt</v>
      </c>
      <c r="P3" s="70">
        <f>IF(H3&gt;N3,H3-N3,N3-H3)</f>
        <v>5400</v>
      </c>
      <c r="Q3" s="67">
        <f>MAX(H3:H300)</f>
        <v>15600</v>
      </c>
      <c r="R3" s="67">
        <f>MAX(N3:N300)</f>
        <v>18400</v>
      </c>
      <c r="T3" s="66" t="s">
        <v>100</v>
      </c>
    </row>
    <row r="4" spans="1:20" x14ac:dyDescent="0.25">
      <c r="A4" s="66">
        <v>2</v>
      </c>
      <c r="B4" s="74"/>
      <c r="C4" s="67">
        <v>2200</v>
      </c>
      <c r="D4" s="67"/>
      <c r="E4" s="66">
        <v>5</v>
      </c>
      <c r="G4" s="67"/>
      <c r="H4" s="69">
        <f t="shared" ref="H4:H67" si="0">C4+D4+G4</f>
        <v>2200</v>
      </c>
      <c r="I4" s="67">
        <v>1800</v>
      </c>
      <c r="J4" s="67"/>
      <c r="K4" s="66">
        <v>5</v>
      </c>
      <c r="M4" s="67"/>
      <c r="N4" s="69">
        <f t="shared" ref="N4:N67" si="1">I4+J4+M4</f>
        <v>1800</v>
      </c>
      <c r="O4" s="66" t="str">
        <f t="shared" ref="O4:O67" si="2">IF(H4&gt;N4,$C$1,$J$1)</f>
        <v>Matt</v>
      </c>
      <c r="P4" s="70">
        <f t="shared" ref="P4:P67" si="3">IF(H4&gt;N4,H4-N4,N4-H4)</f>
        <v>400</v>
      </c>
      <c r="Q4" s="77">
        <f>COUNTIF(O3:O1048576,"Matt")</f>
        <v>42</v>
      </c>
      <c r="R4" s="77">
        <f>COUNTIF(O3:O1048576,"Jamie")</f>
        <v>49</v>
      </c>
      <c r="T4" s="66" t="s">
        <v>101</v>
      </c>
    </row>
    <row r="5" spans="1:20" x14ac:dyDescent="0.25">
      <c r="A5" s="66">
        <v>3</v>
      </c>
      <c r="B5" s="74"/>
      <c r="C5" s="67">
        <v>0</v>
      </c>
      <c r="D5" s="67"/>
      <c r="E5" s="66">
        <v>3</v>
      </c>
      <c r="G5" s="67"/>
      <c r="H5" s="69">
        <f t="shared" si="0"/>
        <v>0</v>
      </c>
      <c r="I5" s="67">
        <v>6800</v>
      </c>
      <c r="J5" s="67"/>
      <c r="K5" s="66">
        <v>11</v>
      </c>
      <c r="M5" s="67"/>
      <c r="N5" s="69">
        <f t="shared" si="1"/>
        <v>6800</v>
      </c>
      <c r="O5" s="66" t="str">
        <f t="shared" si="2"/>
        <v>Jamie</v>
      </c>
      <c r="P5" s="70">
        <f t="shared" si="3"/>
        <v>6800</v>
      </c>
    </row>
    <row r="6" spans="1:20" x14ac:dyDescent="0.25">
      <c r="A6" s="66">
        <v>4</v>
      </c>
      <c r="B6" s="74"/>
      <c r="C6" s="67">
        <v>3800</v>
      </c>
      <c r="D6" s="67"/>
      <c r="E6" s="66">
        <v>5</v>
      </c>
      <c r="G6" s="67"/>
      <c r="H6" s="69">
        <f t="shared" si="0"/>
        <v>3800</v>
      </c>
      <c r="I6" s="67">
        <v>0</v>
      </c>
      <c r="J6" s="67"/>
      <c r="K6" s="66">
        <v>5</v>
      </c>
      <c r="M6" s="67"/>
      <c r="N6" s="69">
        <f t="shared" si="1"/>
        <v>0</v>
      </c>
      <c r="O6" s="66" t="str">
        <f t="shared" si="2"/>
        <v>Matt</v>
      </c>
      <c r="P6" s="70">
        <f t="shared" si="3"/>
        <v>3800</v>
      </c>
    </row>
    <row r="7" spans="1:20" x14ac:dyDescent="0.25">
      <c r="A7" s="66">
        <v>5</v>
      </c>
      <c r="B7" s="74"/>
      <c r="C7" s="67">
        <v>2600</v>
      </c>
      <c r="D7" s="67">
        <v>3600</v>
      </c>
      <c r="E7" s="66">
        <v>6</v>
      </c>
      <c r="F7" s="66">
        <v>4</v>
      </c>
      <c r="G7" s="67">
        <v>1500</v>
      </c>
      <c r="H7" s="69">
        <f t="shared" si="0"/>
        <v>7700</v>
      </c>
      <c r="I7" s="67">
        <v>2400</v>
      </c>
      <c r="J7" s="67">
        <v>3600</v>
      </c>
      <c r="K7" s="66">
        <v>4</v>
      </c>
      <c r="L7" s="66">
        <v>4</v>
      </c>
      <c r="M7" s="67">
        <v>-4500</v>
      </c>
      <c r="N7" s="69">
        <f t="shared" si="1"/>
        <v>1500</v>
      </c>
      <c r="O7" s="66" t="str">
        <f t="shared" si="2"/>
        <v>Matt</v>
      </c>
      <c r="P7" s="70">
        <f t="shared" si="3"/>
        <v>6200</v>
      </c>
    </row>
    <row r="8" spans="1:20" x14ac:dyDescent="0.25">
      <c r="A8" s="66">
        <v>6</v>
      </c>
      <c r="B8" s="74"/>
      <c r="C8" s="66">
        <v>1200</v>
      </c>
      <c r="D8" s="66">
        <v>2400</v>
      </c>
      <c r="E8" s="66">
        <v>2</v>
      </c>
      <c r="F8" s="66">
        <v>2</v>
      </c>
      <c r="G8" s="66">
        <v>-3600</v>
      </c>
      <c r="H8" s="69">
        <f t="shared" si="0"/>
        <v>0</v>
      </c>
      <c r="I8" s="66">
        <v>2600</v>
      </c>
      <c r="J8" s="66">
        <v>10400</v>
      </c>
      <c r="K8" s="66">
        <v>5</v>
      </c>
      <c r="L8" s="66">
        <v>9</v>
      </c>
      <c r="M8" s="66">
        <v>4000</v>
      </c>
      <c r="N8" s="69">
        <f t="shared" si="1"/>
        <v>17000</v>
      </c>
      <c r="O8" s="66" t="str">
        <f t="shared" si="2"/>
        <v>Jamie</v>
      </c>
      <c r="P8" s="70">
        <f t="shared" si="3"/>
        <v>17000</v>
      </c>
    </row>
    <row r="9" spans="1:20" x14ac:dyDescent="0.25">
      <c r="A9" s="66">
        <v>7</v>
      </c>
      <c r="B9" s="74"/>
      <c r="C9" s="66">
        <v>2200</v>
      </c>
      <c r="D9" s="66">
        <v>2800</v>
      </c>
      <c r="E9" s="66">
        <v>6</v>
      </c>
      <c r="F9" s="66">
        <v>4</v>
      </c>
      <c r="G9" s="66">
        <v>-1000</v>
      </c>
      <c r="H9" s="69">
        <f t="shared" si="0"/>
        <v>4000</v>
      </c>
      <c r="I9" s="66">
        <v>2800</v>
      </c>
      <c r="J9" s="66">
        <v>6400</v>
      </c>
      <c r="K9" s="66">
        <v>4</v>
      </c>
      <c r="L9" s="66">
        <v>6</v>
      </c>
      <c r="M9" s="66">
        <v>-1200</v>
      </c>
      <c r="N9" s="69">
        <f t="shared" si="1"/>
        <v>8000</v>
      </c>
      <c r="O9" s="66" t="str">
        <f t="shared" si="2"/>
        <v>Jamie</v>
      </c>
      <c r="P9" s="70">
        <f t="shared" si="3"/>
        <v>4000</v>
      </c>
    </row>
    <row r="10" spans="1:20" x14ac:dyDescent="0.25">
      <c r="A10" s="66">
        <v>8</v>
      </c>
      <c r="B10" s="74"/>
      <c r="C10" s="66">
        <v>1000</v>
      </c>
      <c r="D10" s="66">
        <v>2400</v>
      </c>
      <c r="E10" s="66">
        <v>3</v>
      </c>
      <c r="F10" s="66">
        <v>3</v>
      </c>
      <c r="G10" s="66">
        <v>0</v>
      </c>
      <c r="H10" s="69">
        <f t="shared" si="0"/>
        <v>3400</v>
      </c>
      <c r="I10" s="66">
        <v>3200</v>
      </c>
      <c r="J10" s="66">
        <v>8000</v>
      </c>
      <c r="K10" s="66">
        <v>6</v>
      </c>
      <c r="L10" s="66">
        <v>6</v>
      </c>
      <c r="M10" s="66">
        <v>-2000</v>
      </c>
      <c r="N10" s="69">
        <f t="shared" si="1"/>
        <v>9200</v>
      </c>
      <c r="O10" s="66" t="str">
        <f t="shared" si="2"/>
        <v>Jamie</v>
      </c>
      <c r="P10" s="70">
        <f t="shared" si="3"/>
        <v>5800</v>
      </c>
    </row>
    <row r="11" spans="1:20" x14ac:dyDescent="0.25">
      <c r="A11" s="66">
        <v>9</v>
      </c>
      <c r="B11" s="74"/>
      <c r="C11" s="66">
        <v>2000</v>
      </c>
      <c r="D11" s="66">
        <v>4000</v>
      </c>
      <c r="E11" s="66">
        <v>3</v>
      </c>
      <c r="F11" s="66">
        <v>4</v>
      </c>
      <c r="G11" s="66">
        <v>-3000</v>
      </c>
      <c r="H11" s="69">
        <f t="shared" si="0"/>
        <v>3000</v>
      </c>
      <c r="I11" s="66">
        <v>4400</v>
      </c>
      <c r="J11" s="66">
        <v>4800</v>
      </c>
      <c r="K11" s="66">
        <v>9</v>
      </c>
      <c r="L11" s="66">
        <v>6</v>
      </c>
      <c r="M11" s="66">
        <v>-200</v>
      </c>
      <c r="N11" s="69">
        <f t="shared" si="1"/>
        <v>9000</v>
      </c>
      <c r="O11" s="66" t="str">
        <f t="shared" si="2"/>
        <v>Jamie</v>
      </c>
      <c r="P11" s="70">
        <f t="shared" si="3"/>
        <v>6000</v>
      </c>
    </row>
    <row r="12" spans="1:20" x14ac:dyDescent="0.25">
      <c r="A12" s="66">
        <v>10</v>
      </c>
      <c r="B12" s="74"/>
      <c r="C12" s="66">
        <v>1400</v>
      </c>
      <c r="D12" s="66">
        <v>1200</v>
      </c>
      <c r="E12" s="66">
        <v>3</v>
      </c>
      <c r="F12" s="66">
        <v>2</v>
      </c>
      <c r="G12" s="66">
        <v>-2600</v>
      </c>
      <c r="H12" s="69">
        <f t="shared" si="0"/>
        <v>0</v>
      </c>
      <c r="I12" s="66">
        <v>5000</v>
      </c>
      <c r="J12" s="66">
        <v>400</v>
      </c>
      <c r="K12" s="66">
        <v>9</v>
      </c>
      <c r="L12" s="66">
        <v>1</v>
      </c>
      <c r="M12" s="66">
        <v>2700</v>
      </c>
      <c r="N12" s="69">
        <f t="shared" si="1"/>
        <v>8100</v>
      </c>
      <c r="O12" s="66" t="str">
        <f t="shared" si="2"/>
        <v>Jamie</v>
      </c>
      <c r="P12" s="70">
        <f t="shared" si="3"/>
        <v>8100</v>
      </c>
    </row>
    <row r="13" spans="1:20" x14ac:dyDescent="0.25">
      <c r="A13" s="66">
        <v>11</v>
      </c>
      <c r="B13" s="74"/>
      <c r="C13" s="66">
        <v>3000</v>
      </c>
      <c r="D13" s="66">
        <v>4000</v>
      </c>
      <c r="E13" s="66">
        <v>7</v>
      </c>
      <c r="F13" s="66">
        <v>4</v>
      </c>
      <c r="G13" s="66">
        <v>3000</v>
      </c>
      <c r="H13" s="69">
        <f t="shared" si="0"/>
        <v>10000</v>
      </c>
      <c r="I13" s="66">
        <v>4800</v>
      </c>
      <c r="J13" s="66">
        <v>0</v>
      </c>
      <c r="K13" s="66">
        <v>8</v>
      </c>
      <c r="L13" s="66">
        <v>0</v>
      </c>
      <c r="M13" s="66">
        <v>-4800</v>
      </c>
      <c r="N13" s="69">
        <f t="shared" si="1"/>
        <v>0</v>
      </c>
      <c r="O13" s="66" t="str">
        <f t="shared" si="2"/>
        <v>Matt</v>
      </c>
      <c r="P13" s="70">
        <f t="shared" si="3"/>
        <v>10000</v>
      </c>
    </row>
    <row r="14" spans="1:20" x14ac:dyDescent="0.25">
      <c r="A14" s="66">
        <v>12</v>
      </c>
      <c r="B14" s="74"/>
      <c r="C14" s="66">
        <v>800</v>
      </c>
      <c r="D14" s="66">
        <v>4800</v>
      </c>
      <c r="E14" s="66">
        <v>2</v>
      </c>
      <c r="F14" s="66">
        <v>5</v>
      </c>
      <c r="G14" s="66">
        <v>-601</v>
      </c>
      <c r="H14" s="69">
        <f t="shared" si="0"/>
        <v>4999</v>
      </c>
      <c r="I14" s="66">
        <v>1400</v>
      </c>
      <c r="J14" s="66">
        <v>4800</v>
      </c>
      <c r="K14" s="66">
        <v>3</v>
      </c>
      <c r="L14" s="66">
        <v>5</v>
      </c>
      <c r="M14" s="66">
        <v>-800</v>
      </c>
      <c r="N14" s="69">
        <f t="shared" si="1"/>
        <v>5400</v>
      </c>
      <c r="O14" s="66" t="str">
        <f t="shared" si="2"/>
        <v>Jamie</v>
      </c>
      <c r="P14" s="70">
        <f t="shared" si="3"/>
        <v>401</v>
      </c>
    </row>
    <row r="15" spans="1:20" x14ac:dyDescent="0.25">
      <c r="A15" s="66">
        <v>13</v>
      </c>
      <c r="B15" s="74"/>
      <c r="C15" s="66">
        <v>2400</v>
      </c>
      <c r="D15" s="66">
        <v>2800</v>
      </c>
      <c r="E15" s="66">
        <v>4</v>
      </c>
      <c r="F15" s="66">
        <v>3</v>
      </c>
      <c r="G15" s="66">
        <v>-5200</v>
      </c>
      <c r="H15" s="69">
        <f t="shared" si="0"/>
        <v>0</v>
      </c>
      <c r="I15" s="66">
        <v>7200</v>
      </c>
      <c r="J15" s="66">
        <v>6400</v>
      </c>
      <c r="K15" s="66">
        <v>13</v>
      </c>
      <c r="L15" s="66">
        <v>7</v>
      </c>
      <c r="M15" s="66">
        <v>-2000</v>
      </c>
      <c r="N15" s="69">
        <f t="shared" si="1"/>
        <v>11600</v>
      </c>
      <c r="O15" s="66" t="str">
        <f t="shared" si="2"/>
        <v>Jamie</v>
      </c>
      <c r="P15" s="70">
        <f t="shared" si="3"/>
        <v>11600</v>
      </c>
    </row>
    <row r="16" spans="1:20" x14ac:dyDescent="0.25">
      <c r="A16" s="66">
        <v>14</v>
      </c>
      <c r="B16" s="74"/>
      <c r="C16" s="66">
        <v>3200</v>
      </c>
      <c r="D16" s="66">
        <v>800</v>
      </c>
      <c r="E16" s="66">
        <v>5</v>
      </c>
      <c r="F16" s="66">
        <v>1</v>
      </c>
      <c r="G16" s="66">
        <v>-1600</v>
      </c>
      <c r="H16" s="69">
        <f t="shared" si="0"/>
        <v>2400</v>
      </c>
      <c r="I16" s="66">
        <v>1800</v>
      </c>
      <c r="J16" s="66">
        <v>3200</v>
      </c>
      <c r="K16" s="66">
        <v>4</v>
      </c>
      <c r="L16" s="66">
        <v>2</v>
      </c>
      <c r="M16" s="66">
        <f>999</f>
        <v>999</v>
      </c>
      <c r="N16" s="69">
        <f t="shared" si="1"/>
        <v>5999</v>
      </c>
      <c r="O16" s="66" t="str">
        <f t="shared" si="2"/>
        <v>Jamie</v>
      </c>
      <c r="P16" s="70">
        <f t="shared" si="3"/>
        <v>3599</v>
      </c>
    </row>
    <row r="17" spans="1:16" x14ac:dyDescent="0.25">
      <c r="A17" s="66">
        <v>15</v>
      </c>
      <c r="B17" s="74"/>
      <c r="C17" s="66">
        <v>4600</v>
      </c>
      <c r="D17" s="66">
        <v>5200</v>
      </c>
      <c r="E17" s="66">
        <v>7</v>
      </c>
      <c r="F17" s="66">
        <v>4</v>
      </c>
      <c r="G17" s="66">
        <v>-3000</v>
      </c>
      <c r="H17" s="69">
        <f t="shared" si="0"/>
        <v>6800</v>
      </c>
      <c r="I17" s="66">
        <v>3000</v>
      </c>
      <c r="J17" s="66">
        <v>0</v>
      </c>
      <c r="K17" s="66">
        <v>6</v>
      </c>
      <c r="L17" s="66">
        <v>0</v>
      </c>
      <c r="M17" s="66">
        <v>-3000</v>
      </c>
      <c r="N17" s="69">
        <f t="shared" si="1"/>
        <v>0</v>
      </c>
      <c r="O17" s="66" t="str">
        <f t="shared" si="2"/>
        <v>Matt</v>
      </c>
      <c r="P17" s="70">
        <f t="shared" si="3"/>
        <v>6800</v>
      </c>
    </row>
    <row r="18" spans="1:16" x14ac:dyDescent="0.25">
      <c r="A18" s="66">
        <v>16</v>
      </c>
      <c r="B18" s="74"/>
      <c r="C18" s="66">
        <v>4200</v>
      </c>
      <c r="D18" s="66">
        <v>4800</v>
      </c>
      <c r="E18" s="66">
        <v>6</v>
      </c>
      <c r="F18" s="66">
        <v>4</v>
      </c>
      <c r="G18" s="66">
        <v>0</v>
      </c>
      <c r="H18" s="69">
        <f t="shared" si="0"/>
        <v>9000</v>
      </c>
      <c r="I18" s="66">
        <v>2200</v>
      </c>
      <c r="J18" s="66">
        <v>5600</v>
      </c>
      <c r="K18" s="66">
        <v>6</v>
      </c>
      <c r="L18" s="66">
        <v>7</v>
      </c>
      <c r="M18" s="66">
        <v>-1201</v>
      </c>
      <c r="N18" s="69">
        <f t="shared" si="1"/>
        <v>6599</v>
      </c>
      <c r="O18" s="66" t="str">
        <f t="shared" si="2"/>
        <v>Matt</v>
      </c>
      <c r="P18" s="70">
        <f t="shared" si="3"/>
        <v>2401</v>
      </c>
    </row>
    <row r="19" spans="1:16" x14ac:dyDescent="0.25">
      <c r="A19" s="66">
        <v>17</v>
      </c>
      <c r="B19" s="74"/>
      <c r="C19" s="66">
        <v>1400</v>
      </c>
      <c r="D19" s="66">
        <v>2000</v>
      </c>
      <c r="E19" s="66">
        <v>3</v>
      </c>
      <c r="F19" s="66">
        <v>3</v>
      </c>
      <c r="G19" s="66">
        <v>-2400</v>
      </c>
      <c r="H19" s="69">
        <f t="shared" si="0"/>
        <v>1000</v>
      </c>
      <c r="I19" s="66">
        <v>3600</v>
      </c>
      <c r="J19" s="66">
        <v>2400</v>
      </c>
      <c r="K19" s="66">
        <v>7</v>
      </c>
      <c r="L19" s="66">
        <v>3</v>
      </c>
      <c r="M19" s="66">
        <v>-1500</v>
      </c>
      <c r="N19" s="69">
        <f t="shared" si="1"/>
        <v>4500</v>
      </c>
      <c r="O19" s="66" t="str">
        <f t="shared" si="2"/>
        <v>Jamie</v>
      </c>
      <c r="P19" s="70">
        <f t="shared" si="3"/>
        <v>3500</v>
      </c>
    </row>
    <row r="20" spans="1:16" x14ac:dyDescent="0.25">
      <c r="A20" s="66">
        <v>18</v>
      </c>
      <c r="B20" s="74"/>
      <c r="C20" s="66">
        <v>4200</v>
      </c>
      <c r="D20" s="66">
        <v>3600</v>
      </c>
      <c r="E20" s="66">
        <v>7</v>
      </c>
      <c r="F20" s="66">
        <v>4</v>
      </c>
      <c r="G20" s="66">
        <v>-1499</v>
      </c>
      <c r="H20" s="69">
        <f t="shared" si="0"/>
        <v>6301</v>
      </c>
      <c r="I20" s="66">
        <v>2000</v>
      </c>
      <c r="J20" s="66">
        <v>2800</v>
      </c>
      <c r="K20" s="66">
        <v>4</v>
      </c>
      <c r="L20" s="66">
        <v>2</v>
      </c>
      <c r="M20" s="66">
        <v>-4800</v>
      </c>
      <c r="N20" s="69">
        <f t="shared" si="1"/>
        <v>0</v>
      </c>
      <c r="O20" s="66" t="str">
        <f t="shared" si="2"/>
        <v>Matt</v>
      </c>
      <c r="P20" s="70">
        <f t="shared" si="3"/>
        <v>6301</v>
      </c>
    </row>
    <row r="21" spans="1:16" x14ac:dyDescent="0.25">
      <c r="A21" s="66">
        <v>19</v>
      </c>
      <c r="B21" s="74"/>
      <c r="C21" s="66">
        <v>1200</v>
      </c>
      <c r="D21" s="66">
        <v>7600</v>
      </c>
      <c r="E21" s="66">
        <v>2</v>
      </c>
      <c r="F21" s="66">
        <v>7</v>
      </c>
      <c r="G21" s="66">
        <v>-1500</v>
      </c>
      <c r="H21" s="69">
        <f t="shared" si="0"/>
        <v>7300</v>
      </c>
      <c r="I21" s="66">
        <v>2800</v>
      </c>
      <c r="J21" s="66">
        <v>2400</v>
      </c>
      <c r="K21" s="66">
        <v>6</v>
      </c>
      <c r="L21" s="66">
        <v>4</v>
      </c>
      <c r="M21" s="66">
        <v>-3202</v>
      </c>
      <c r="N21" s="69">
        <f t="shared" si="1"/>
        <v>1998</v>
      </c>
      <c r="O21" s="66" t="str">
        <f t="shared" si="2"/>
        <v>Matt</v>
      </c>
      <c r="P21" s="70">
        <f t="shared" si="3"/>
        <v>5302</v>
      </c>
    </row>
    <row r="22" spans="1:16" x14ac:dyDescent="0.25">
      <c r="A22" s="66">
        <v>20</v>
      </c>
      <c r="B22" s="74"/>
      <c r="C22" s="66">
        <v>1600</v>
      </c>
      <c r="D22" s="66">
        <v>3600</v>
      </c>
      <c r="E22" s="66">
        <v>3</v>
      </c>
      <c r="F22" s="66">
        <v>5</v>
      </c>
      <c r="G22" s="66">
        <v>0</v>
      </c>
      <c r="H22" s="68">
        <f t="shared" si="0"/>
        <v>5200</v>
      </c>
      <c r="I22" s="66">
        <v>5400</v>
      </c>
      <c r="J22" s="66">
        <v>1200</v>
      </c>
      <c r="K22" s="66">
        <v>11</v>
      </c>
      <c r="L22" s="66">
        <v>2</v>
      </c>
      <c r="M22" s="66">
        <v>-23</v>
      </c>
      <c r="N22" s="69">
        <f t="shared" si="1"/>
        <v>6577</v>
      </c>
      <c r="O22" s="66" t="str">
        <f t="shared" si="2"/>
        <v>Jamie</v>
      </c>
      <c r="P22" s="70">
        <f t="shared" si="3"/>
        <v>1377</v>
      </c>
    </row>
    <row r="23" spans="1:16" x14ac:dyDescent="0.25">
      <c r="A23" s="66">
        <v>21</v>
      </c>
      <c r="B23" s="74"/>
      <c r="C23" s="66">
        <v>2600</v>
      </c>
      <c r="D23" s="66">
        <v>2000</v>
      </c>
      <c r="E23" s="66">
        <v>6</v>
      </c>
      <c r="F23" s="66">
        <v>3</v>
      </c>
      <c r="G23" s="66">
        <v>1500</v>
      </c>
      <c r="H23" s="68">
        <f t="shared" si="0"/>
        <v>6100</v>
      </c>
      <c r="I23" s="66">
        <v>1200</v>
      </c>
      <c r="J23" s="66">
        <v>2800</v>
      </c>
      <c r="K23" s="66">
        <v>3</v>
      </c>
      <c r="L23" s="66">
        <v>3</v>
      </c>
      <c r="M23" s="66">
        <v>1500</v>
      </c>
      <c r="N23" s="68">
        <f t="shared" si="1"/>
        <v>5500</v>
      </c>
      <c r="O23" s="66" t="str">
        <f t="shared" si="2"/>
        <v>Matt</v>
      </c>
      <c r="P23" s="70">
        <f t="shared" si="3"/>
        <v>600</v>
      </c>
    </row>
    <row r="24" spans="1:16" x14ac:dyDescent="0.25">
      <c r="A24" s="66">
        <v>22</v>
      </c>
      <c r="B24" s="74"/>
      <c r="C24" s="66">
        <v>3800</v>
      </c>
      <c r="D24" s="66">
        <v>3200</v>
      </c>
      <c r="E24" s="66">
        <v>6</v>
      </c>
      <c r="F24" s="66">
        <v>4</v>
      </c>
      <c r="G24" s="66">
        <v>-1500</v>
      </c>
      <c r="H24" s="68">
        <f t="shared" si="0"/>
        <v>5500</v>
      </c>
      <c r="I24" s="66">
        <v>2000</v>
      </c>
      <c r="J24" s="66">
        <v>4000</v>
      </c>
      <c r="K24" s="66">
        <v>4</v>
      </c>
      <c r="L24" s="66">
        <v>5</v>
      </c>
      <c r="M24" s="66">
        <v>-2000</v>
      </c>
      <c r="N24" s="68">
        <f t="shared" si="1"/>
        <v>4000</v>
      </c>
      <c r="O24" s="66" t="str">
        <f t="shared" si="2"/>
        <v>Matt</v>
      </c>
      <c r="P24" s="70">
        <f t="shared" si="3"/>
        <v>1500</v>
      </c>
    </row>
    <row r="25" spans="1:16" x14ac:dyDescent="0.25">
      <c r="A25" s="66">
        <v>23</v>
      </c>
      <c r="B25" s="74"/>
      <c r="C25" s="66">
        <v>2800</v>
      </c>
      <c r="D25" s="66">
        <v>4800</v>
      </c>
      <c r="E25" s="66">
        <v>5</v>
      </c>
      <c r="F25" s="66">
        <v>5</v>
      </c>
      <c r="G25" s="66">
        <v>-1000</v>
      </c>
      <c r="H25" s="68">
        <f t="shared" si="0"/>
        <v>6600</v>
      </c>
      <c r="I25" s="66">
        <v>1200</v>
      </c>
      <c r="J25" s="66">
        <v>3200</v>
      </c>
      <c r="K25" s="66">
        <v>2</v>
      </c>
      <c r="L25" s="66">
        <v>3</v>
      </c>
      <c r="M25" s="66">
        <v>-4400</v>
      </c>
      <c r="N25" s="68">
        <f t="shared" si="1"/>
        <v>0</v>
      </c>
      <c r="O25" s="66" t="str">
        <f t="shared" si="2"/>
        <v>Matt</v>
      </c>
      <c r="P25" s="70">
        <f t="shared" si="3"/>
        <v>6600</v>
      </c>
    </row>
    <row r="26" spans="1:16" x14ac:dyDescent="0.25">
      <c r="A26" s="66">
        <v>24</v>
      </c>
      <c r="B26" s="74"/>
      <c r="C26" s="66">
        <v>4600</v>
      </c>
      <c r="D26" s="66">
        <v>5200</v>
      </c>
      <c r="E26" s="66">
        <v>10</v>
      </c>
      <c r="F26" s="66">
        <v>4</v>
      </c>
      <c r="G26" s="66">
        <v>-1500</v>
      </c>
      <c r="H26" s="68">
        <f t="shared" si="0"/>
        <v>8300</v>
      </c>
      <c r="I26" s="66">
        <v>1400</v>
      </c>
      <c r="J26" s="66">
        <v>1600</v>
      </c>
      <c r="K26" s="66">
        <v>3</v>
      </c>
      <c r="L26" s="66">
        <v>3</v>
      </c>
      <c r="M26" s="66">
        <v>-50</v>
      </c>
      <c r="N26" s="68">
        <f t="shared" si="1"/>
        <v>2950</v>
      </c>
      <c r="O26" s="66" t="str">
        <f t="shared" si="2"/>
        <v>Matt</v>
      </c>
      <c r="P26" s="70">
        <f t="shared" si="3"/>
        <v>5350</v>
      </c>
    </row>
    <row r="27" spans="1:16" x14ac:dyDescent="0.25">
      <c r="A27" s="66">
        <v>25</v>
      </c>
      <c r="B27" s="74"/>
      <c r="C27" s="66">
        <v>4000</v>
      </c>
      <c r="D27" s="66">
        <v>2400</v>
      </c>
      <c r="E27" s="66">
        <v>7</v>
      </c>
      <c r="F27" s="66">
        <v>4</v>
      </c>
      <c r="G27" s="66">
        <v>3001</v>
      </c>
      <c r="H27" s="68">
        <f t="shared" si="0"/>
        <v>9401</v>
      </c>
      <c r="I27" s="66">
        <v>800</v>
      </c>
      <c r="J27" s="66">
        <v>6000</v>
      </c>
      <c r="K27" s="66">
        <v>1</v>
      </c>
      <c r="L27" s="66">
        <v>4</v>
      </c>
      <c r="M27" s="66">
        <v>-50</v>
      </c>
      <c r="N27" s="68">
        <f t="shared" si="1"/>
        <v>6750</v>
      </c>
      <c r="O27" s="66" t="str">
        <f t="shared" si="2"/>
        <v>Matt</v>
      </c>
      <c r="P27" s="70">
        <f t="shared" si="3"/>
        <v>2651</v>
      </c>
    </row>
    <row r="28" spans="1:16" x14ac:dyDescent="0.25">
      <c r="A28" s="66">
        <v>26</v>
      </c>
      <c r="B28" s="74"/>
      <c r="C28" s="66">
        <v>1600</v>
      </c>
      <c r="D28" s="66">
        <v>4800</v>
      </c>
      <c r="E28" s="66">
        <v>4</v>
      </c>
      <c r="F28" s="66">
        <v>4</v>
      </c>
      <c r="G28" s="66">
        <v>0</v>
      </c>
      <c r="H28" s="68">
        <f t="shared" si="0"/>
        <v>6400</v>
      </c>
      <c r="I28" s="66">
        <v>4800</v>
      </c>
      <c r="J28" s="66">
        <v>400</v>
      </c>
      <c r="K28" s="66">
        <v>7</v>
      </c>
      <c r="L28" s="66">
        <v>1</v>
      </c>
      <c r="M28" s="66">
        <v>0</v>
      </c>
      <c r="N28" s="68">
        <f t="shared" si="1"/>
        <v>5200</v>
      </c>
      <c r="O28" s="66" t="str">
        <f t="shared" si="2"/>
        <v>Matt</v>
      </c>
      <c r="P28" s="70">
        <f t="shared" si="3"/>
        <v>1200</v>
      </c>
    </row>
    <row r="29" spans="1:16" x14ac:dyDescent="0.25">
      <c r="A29" s="66">
        <v>27</v>
      </c>
      <c r="B29" s="74"/>
      <c r="C29" s="66">
        <v>2600</v>
      </c>
      <c r="D29" s="66">
        <v>2800</v>
      </c>
      <c r="E29" s="66">
        <v>5</v>
      </c>
      <c r="F29" s="66">
        <v>2</v>
      </c>
      <c r="G29" s="66">
        <v>0</v>
      </c>
      <c r="H29" s="68">
        <f t="shared" si="0"/>
        <v>5400</v>
      </c>
      <c r="I29" s="66">
        <v>2400</v>
      </c>
      <c r="J29" s="66">
        <v>800</v>
      </c>
      <c r="K29" s="66">
        <v>4</v>
      </c>
      <c r="L29" s="66">
        <v>1</v>
      </c>
      <c r="M29" s="66">
        <v>-2500</v>
      </c>
      <c r="N29" s="68">
        <f t="shared" si="1"/>
        <v>700</v>
      </c>
      <c r="O29" s="66" t="str">
        <f t="shared" si="2"/>
        <v>Matt</v>
      </c>
      <c r="P29" s="70">
        <f t="shared" si="3"/>
        <v>4700</v>
      </c>
    </row>
    <row r="30" spans="1:16" x14ac:dyDescent="0.25">
      <c r="A30" s="66">
        <v>28</v>
      </c>
      <c r="B30" s="74"/>
      <c r="C30" s="66">
        <v>2000</v>
      </c>
      <c r="D30" s="66">
        <v>3200</v>
      </c>
      <c r="E30" s="66">
        <v>4</v>
      </c>
      <c r="F30" s="66">
        <v>5</v>
      </c>
      <c r="G30" s="66">
        <v>0</v>
      </c>
      <c r="H30" s="68">
        <f t="shared" si="0"/>
        <v>5200</v>
      </c>
      <c r="I30" s="66">
        <v>0</v>
      </c>
      <c r="J30" s="66">
        <v>3200</v>
      </c>
      <c r="K30" s="66">
        <v>0</v>
      </c>
      <c r="L30" s="66">
        <v>4</v>
      </c>
      <c r="M30" s="66">
        <v>-2500</v>
      </c>
      <c r="N30" s="68">
        <f t="shared" si="1"/>
        <v>700</v>
      </c>
      <c r="O30" s="66" t="str">
        <f t="shared" si="2"/>
        <v>Matt</v>
      </c>
      <c r="P30" s="70">
        <f t="shared" si="3"/>
        <v>4500</v>
      </c>
    </row>
    <row r="31" spans="1:16" x14ac:dyDescent="0.25">
      <c r="A31" s="66">
        <v>29</v>
      </c>
      <c r="B31" s="74"/>
      <c r="C31" s="66">
        <v>3800</v>
      </c>
      <c r="D31" s="66">
        <v>4000</v>
      </c>
      <c r="E31" s="66">
        <v>5</v>
      </c>
      <c r="F31" s="66">
        <v>5</v>
      </c>
      <c r="G31" s="66">
        <v>-2000</v>
      </c>
      <c r="H31" s="68">
        <f t="shared" si="0"/>
        <v>5800</v>
      </c>
      <c r="I31" s="66">
        <v>2400</v>
      </c>
      <c r="J31" s="66">
        <v>2000</v>
      </c>
      <c r="K31" s="66">
        <v>4</v>
      </c>
      <c r="L31" s="66">
        <v>3</v>
      </c>
      <c r="M31" s="66">
        <v>-50</v>
      </c>
      <c r="N31" s="68">
        <f t="shared" si="1"/>
        <v>4350</v>
      </c>
      <c r="O31" s="66" t="str">
        <f t="shared" si="2"/>
        <v>Matt</v>
      </c>
      <c r="P31" s="70">
        <f t="shared" si="3"/>
        <v>1450</v>
      </c>
    </row>
    <row r="32" spans="1:16" x14ac:dyDescent="0.25">
      <c r="A32" s="66">
        <v>30</v>
      </c>
      <c r="B32" s="74"/>
      <c r="C32" s="66">
        <v>3200</v>
      </c>
      <c r="D32" s="66">
        <v>800</v>
      </c>
      <c r="E32" s="66">
        <v>5</v>
      </c>
      <c r="F32" s="66">
        <v>1</v>
      </c>
      <c r="G32" s="66">
        <v>4000</v>
      </c>
      <c r="H32" s="68">
        <f t="shared" si="0"/>
        <v>8000</v>
      </c>
      <c r="I32" s="66">
        <v>1200</v>
      </c>
      <c r="J32" s="66">
        <v>6000</v>
      </c>
      <c r="K32" s="66">
        <v>4</v>
      </c>
      <c r="L32" s="66">
        <v>7</v>
      </c>
      <c r="M32" s="66">
        <v>1000</v>
      </c>
      <c r="N32" s="68">
        <f t="shared" si="1"/>
        <v>8200</v>
      </c>
      <c r="O32" s="66" t="str">
        <f t="shared" si="2"/>
        <v>Jamie</v>
      </c>
      <c r="P32" s="70">
        <f t="shared" si="3"/>
        <v>200</v>
      </c>
    </row>
    <row r="33" spans="1:16" x14ac:dyDescent="0.25">
      <c r="A33" s="66">
        <v>31</v>
      </c>
      <c r="B33" s="74"/>
      <c r="C33" s="66">
        <v>1400</v>
      </c>
      <c r="D33" s="66">
        <v>4400</v>
      </c>
      <c r="E33" s="66">
        <v>2</v>
      </c>
      <c r="F33" s="66">
        <v>6</v>
      </c>
      <c r="G33" s="66">
        <v>-1000</v>
      </c>
      <c r="H33" s="68">
        <f t="shared" si="0"/>
        <v>4800</v>
      </c>
      <c r="I33" s="66">
        <v>1800</v>
      </c>
      <c r="J33" s="66">
        <v>6000</v>
      </c>
      <c r="K33" s="66">
        <v>6</v>
      </c>
      <c r="L33" s="66">
        <v>5</v>
      </c>
      <c r="M33" s="66">
        <v>-1000</v>
      </c>
      <c r="N33" s="68">
        <f t="shared" si="1"/>
        <v>6800</v>
      </c>
      <c r="O33" s="66" t="str">
        <f t="shared" si="2"/>
        <v>Jamie</v>
      </c>
      <c r="P33" s="70">
        <f t="shared" si="3"/>
        <v>2000</v>
      </c>
    </row>
    <row r="34" spans="1:16" x14ac:dyDescent="0.25">
      <c r="A34" s="66">
        <v>32</v>
      </c>
      <c r="B34" s="74"/>
      <c r="C34" s="66">
        <v>2800</v>
      </c>
      <c r="D34" s="66">
        <v>2400</v>
      </c>
      <c r="E34" s="66">
        <v>7</v>
      </c>
      <c r="F34" s="66">
        <v>4</v>
      </c>
      <c r="G34" s="66">
        <v>1000</v>
      </c>
      <c r="H34" s="68">
        <f t="shared" si="0"/>
        <v>6200</v>
      </c>
      <c r="I34" s="66">
        <v>1600</v>
      </c>
      <c r="J34" s="66">
        <v>400</v>
      </c>
      <c r="K34" s="66">
        <v>4</v>
      </c>
      <c r="L34" s="66">
        <v>1</v>
      </c>
      <c r="M34" s="66">
        <v>-2000</v>
      </c>
      <c r="N34" s="68">
        <f t="shared" si="1"/>
        <v>0</v>
      </c>
      <c r="O34" s="66" t="str">
        <f t="shared" si="2"/>
        <v>Matt</v>
      </c>
      <c r="P34" s="70">
        <f t="shared" si="3"/>
        <v>6200</v>
      </c>
    </row>
    <row r="35" spans="1:16" x14ac:dyDescent="0.25">
      <c r="A35" s="66">
        <v>33</v>
      </c>
      <c r="B35" s="74"/>
      <c r="C35" s="66">
        <v>2000</v>
      </c>
      <c r="D35" s="66">
        <v>400</v>
      </c>
      <c r="E35" s="66">
        <v>3</v>
      </c>
      <c r="F35" s="66">
        <v>1</v>
      </c>
      <c r="G35" s="66">
        <v>-2400</v>
      </c>
      <c r="H35" s="68">
        <f t="shared" si="0"/>
        <v>0</v>
      </c>
      <c r="I35" s="66">
        <v>2600</v>
      </c>
      <c r="J35" s="66">
        <v>5600</v>
      </c>
      <c r="K35" s="66">
        <v>8</v>
      </c>
      <c r="L35" s="66">
        <v>5</v>
      </c>
      <c r="M35" s="66">
        <v>5</v>
      </c>
      <c r="N35" s="68">
        <f t="shared" si="1"/>
        <v>8205</v>
      </c>
      <c r="O35" s="66" t="str">
        <f t="shared" si="2"/>
        <v>Jamie</v>
      </c>
      <c r="P35" s="70">
        <f t="shared" si="3"/>
        <v>8205</v>
      </c>
    </row>
    <row r="36" spans="1:16" x14ac:dyDescent="0.25">
      <c r="A36" s="66">
        <v>34</v>
      </c>
      <c r="B36" s="74"/>
      <c r="C36" s="66">
        <v>1000</v>
      </c>
      <c r="D36" s="66">
        <v>2000</v>
      </c>
      <c r="E36" s="66">
        <v>3</v>
      </c>
      <c r="F36" s="66">
        <v>2</v>
      </c>
      <c r="G36" s="66">
        <v>-3000</v>
      </c>
      <c r="H36" s="68">
        <f t="shared" si="0"/>
        <v>0</v>
      </c>
      <c r="I36" s="66">
        <v>2400</v>
      </c>
      <c r="J36" s="66">
        <v>5600</v>
      </c>
      <c r="K36" s="66">
        <v>6</v>
      </c>
      <c r="L36" s="66">
        <v>6</v>
      </c>
      <c r="M36" s="66">
        <v>-50</v>
      </c>
      <c r="N36" s="68">
        <f t="shared" si="1"/>
        <v>7950</v>
      </c>
      <c r="O36" s="66" t="str">
        <f t="shared" si="2"/>
        <v>Jamie</v>
      </c>
      <c r="P36" s="70">
        <f t="shared" si="3"/>
        <v>7950</v>
      </c>
    </row>
    <row r="37" spans="1:16" x14ac:dyDescent="0.25">
      <c r="A37" s="66">
        <v>35</v>
      </c>
      <c r="B37" s="74"/>
      <c r="C37" s="66">
        <v>3400</v>
      </c>
      <c r="D37" s="66">
        <v>3600</v>
      </c>
      <c r="E37" s="66">
        <v>7</v>
      </c>
      <c r="F37" s="66">
        <v>4</v>
      </c>
      <c r="G37" s="66">
        <v>-1601</v>
      </c>
      <c r="H37" s="68">
        <f t="shared" si="0"/>
        <v>5399</v>
      </c>
      <c r="I37" s="66">
        <v>5000</v>
      </c>
      <c r="J37" s="66">
        <v>1600</v>
      </c>
      <c r="K37" s="66">
        <v>9</v>
      </c>
      <c r="L37" s="66">
        <v>2</v>
      </c>
      <c r="M37" s="66">
        <v>-410</v>
      </c>
      <c r="N37" s="68">
        <f t="shared" si="1"/>
        <v>6190</v>
      </c>
      <c r="O37" s="66" t="str">
        <f t="shared" si="2"/>
        <v>Jamie</v>
      </c>
      <c r="P37" s="70">
        <f t="shared" si="3"/>
        <v>791</v>
      </c>
    </row>
    <row r="38" spans="1:16" x14ac:dyDescent="0.25">
      <c r="A38" s="66">
        <v>36</v>
      </c>
      <c r="B38" s="74"/>
      <c r="C38" s="66">
        <v>1400</v>
      </c>
      <c r="D38" s="66">
        <v>1200</v>
      </c>
      <c r="E38" s="66">
        <v>3</v>
      </c>
      <c r="F38" s="66">
        <v>2</v>
      </c>
      <c r="G38" s="66">
        <v>-2600</v>
      </c>
      <c r="H38" s="68">
        <f t="shared" si="0"/>
        <v>0</v>
      </c>
      <c r="I38" s="66">
        <v>600</v>
      </c>
      <c r="J38" s="66">
        <v>7200</v>
      </c>
      <c r="K38" s="66">
        <v>2</v>
      </c>
      <c r="L38" s="66">
        <v>9</v>
      </c>
      <c r="M38" s="66">
        <v>-800</v>
      </c>
      <c r="N38" s="68">
        <f t="shared" si="1"/>
        <v>7000</v>
      </c>
      <c r="O38" s="66" t="str">
        <f t="shared" si="2"/>
        <v>Jamie</v>
      </c>
      <c r="P38" s="70">
        <f t="shared" si="3"/>
        <v>7000</v>
      </c>
    </row>
    <row r="39" spans="1:16" x14ac:dyDescent="0.25">
      <c r="A39" s="66">
        <v>37</v>
      </c>
      <c r="B39" s="74"/>
      <c r="C39" s="66">
        <v>1600</v>
      </c>
      <c r="D39" s="66">
        <v>3200</v>
      </c>
      <c r="E39" s="66">
        <v>4</v>
      </c>
      <c r="F39" s="66">
        <v>3</v>
      </c>
      <c r="G39" s="66">
        <v>0</v>
      </c>
      <c r="H39" s="68">
        <f t="shared" si="0"/>
        <v>4800</v>
      </c>
      <c r="I39" s="66">
        <v>600</v>
      </c>
      <c r="J39" s="66">
        <v>4000</v>
      </c>
      <c r="K39" s="66">
        <v>2</v>
      </c>
      <c r="L39" s="66">
        <v>4</v>
      </c>
      <c r="M39" s="66">
        <v>-201</v>
      </c>
      <c r="N39" s="68">
        <f t="shared" si="1"/>
        <v>4399</v>
      </c>
      <c r="O39" s="66" t="str">
        <f t="shared" si="2"/>
        <v>Matt</v>
      </c>
      <c r="P39" s="70">
        <f t="shared" si="3"/>
        <v>401</v>
      </c>
    </row>
    <row r="40" spans="1:16" x14ac:dyDescent="0.25">
      <c r="A40" s="66">
        <v>38</v>
      </c>
      <c r="B40" s="74"/>
      <c r="C40" s="66">
        <v>2200</v>
      </c>
      <c r="D40" s="66">
        <v>4000</v>
      </c>
      <c r="E40" s="66">
        <v>5</v>
      </c>
      <c r="F40" s="66">
        <v>3</v>
      </c>
      <c r="G40" s="66">
        <v>-3000</v>
      </c>
      <c r="H40" s="68">
        <f t="shared" si="0"/>
        <v>3200</v>
      </c>
      <c r="I40" s="66">
        <v>3400</v>
      </c>
      <c r="J40" s="66">
        <v>6400</v>
      </c>
      <c r="K40" s="66">
        <v>6</v>
      </c>
      <c r="L40" s="66">
        <v>6</v>
      </c>
      <c r="M40" s="66">
        <v>-200</v>
      </c>
      <c r="N40" s="68">
        <f t="shared" si="1"/>
        <v>9600</v>
      </c>
      <c r="O40" s="66" t="str">
        <f t="shared" si="2"/>
        <v>Jamie</v>
      </c>
      <c r="P40" s="70">
        <f t="shared" si="3"/>
        <v>6400</v>
      </c>
    </row>
    <row r="41" spans="1:16" x14ac:dyDescent="0.25">
      <c r="A41" s="66">
        <v>39</v>
      </c>
      <c r="B41" s="74"/>
      <c r="C41" s="66">
        <v>3600</v>
      </c>
      <c r="D41" s="66">
        <v>2000</v>
      </c>
      <c r="E41" s="66">
        <v>5</v>
      </c>
      <c r="F41" s="66">
        <v>2</v>
      </c>
      <c r="G41" s="66">
        <v>-500</v>
      </c>
      <c r="H41" s="68">
        <f t="shared" si="0"/>
        <v>5100</v>
      </c>
      <c r="I41" s="66">
        <v>2200</v>
      </c>
      <c r="J41" s="66">
        <v>0</v>
      </c>
      <c r="K41" s="66">
        <v>5</v>
      </c>
      <c r="L41" s="66">
        <v>0</v>
      </c>
      <c r="M41" s="66">
        <v>2200</v>
      </c>
      <c r="N41" s="68">
        <f t="shared" si="1"/>
        <v>4400</v>
      </c>
      <c r="O41" s="66" t="str">
        <f t="shared" si="2"/>
        <v>Matt</v>
      </c>
      <c r="P41" s="70">
        <f t="shared" si="3"/>
        <v>700</v>
      </c>
    </row>
    <row r="42" spans="1:16" x14ac:dyDescent="0.25">
      <c r="A42" s="66">
        <v>40</v>
      </c>
      <c r="B42" s="74"/>
      <c r="C42" s="66">
        <v>2400</v>
      </c>
      <c r="D42" s="66">
        <v>2000</v>
      </c>
      <c r="E42" s="66">
        <v>4</v>
      </c>
      <c r="F42" s="66">
        <v>3</v>
      </c>
      <c r="G42" s="66">
        <v>-100</v>
      </c>
      <c r="H42" s="68">
        <f t="shared" si="0"/>
        <v>4300</v>
      </c>
      <c r="I42" s="66">
        <v>2000</v>
      </c>
      <c r="J42" s="66">
        <v>8800</v>
      </c>
      <c r="K42" s="66">
        <v>6</v>
      </c>
      <c r="L42" s="66">
        <v>7</v>
      </c>
      <c r="M42" s="66">
        <v>-400</v>
      </c>
      <c r="N42" s="68">
        <f t="shared" si="1"/>
        <v>10400</v>
      </c>
      <c r="O42" s="66" t="str">
        <f t="shared" si="2"/>
        <v>Jamie</v>
      </c>
      <c r="P42" s="70">
        <f t="shared" si="3"/>
        <v>6100</v>
      </c>
    </row>
    <row r="43" spans="1:16" x14ac:dyDescent="0.25">
      <c r="A43" s="66">
        <v>41</v>
      </c>
      <c r="B43" s="74"/>
      <c r="C43" s="66">
        <v>3400</v>
      </c>
      <c r="D43" s="66">
        <v>2400</v>
      </c>
      <c r="E43" s="66">
        <v>8</v>
      </c>
      <c r="F43" s="66">
        <v>3</v>
      </c>
      <c r="G43" s="66">
        <v>-400</v>
      </c>
      <c r="H43" s="68">
        <f t="shared" si="0"/>
        <v>5400</v>
      </c>
      <c r="I43" s="66">
        <v>1400</v>
      </c>
      <c r="J43" s="66">
        <v>4400</v>
      </c>
      <c r="K43" s="66">
        <v>5</v>
      </c>
      <c r="L43" s="66">
        <v>4</v>
      </c>
      <c r="M43" s="66">
        <v>800</v>
      </c>
      <c r="N43" s="68">
        <f t="shared" si="1"/>
        <v>6600</v>
      </c>
      <c r="O43" s="66" t="str">
        <f t="shared" si="2"/>
        <v>Jamie</v>
      </c>
      <c r="P43" s="70">
        <f t="shared" si="3"/>
        <v>1200</v>
      </c>
    </row>
    <row r="44" spans="1:16" x14ac:dyDescent="0.25">
      <c r="A44" s="66">
        <v>42</v>
      </c>
      <c r="B44" s="74"/>
      <c r="C44" s="66">
        <v>3200</v>
      </c>
      <c r="D44" s="66">
        <v>5600</v>
      </c>
      <c r="E44" s="66">
        <v>6</v>
      </c>
      <c r="F44" s="66">
        <v>5</v>
      </c>
      <c r="G44" s="66">
        <v>-1000</v>
      </c>
      <c r="H44" s="68">
        <f t="shared" si="0"/>
        <v>7800</v>
      </c>
      <c r="I44" s="66">
        <v>2200</v>
      </c>
      <c r="J44" s="66">
        <v>4400</v>
      </c>
      <c r="K44" s="66">
        <v>4</v>
      </c>
      <c r="L44" s="66">
        <v>4</v>
      </c>
      <c r="M44" s="66">
        <v>-4000</v>
      </c>
      <c r="N44" s="68">
        <f t="shared" si="1"/>
        <v>2600</v>
      </c>
      <c r="O44" s="66" t="str">
        <f t="shared" si="2"/>
        <v>Matt</v>
      </c>
      <c r="P44" s="70">
        <f t="shared" si="3"/>
        <v>5200</v>
      </c>
    </row>
    <row r="45" spans="1:16" x14ac:dyDescent="0.25">
      <c r="A45" s="66">
        <v>43</v>
      </c>
      <c r="B45" s="74"/>
      <c r="C45" s="66">
        <v>1800</v>
      </c>
      <c r="D45" s="66">
        <v>3600</v>
      </c>
      <c r="E45" s="66">
        <v>4</v>
      </c>
      <c r="F45" s="66">
        <v>4</v>
      </c>
      <c r="G45" s="66">
        <v>1700</v>
      </c>
      <c r="H45" s="68">
        <f t="shared" si="0"/>
        <v>7100</v>
      </c>
      <c r="I45" s="66">
        <v>4800</v>
      </c>
      <c r="J45" s="66">
        <v>1200</v>
      </c>
      <c r="K45" s="66">
        <v>9</v>
      </c>
      <c r="L45" s="66">
        <v>1</v>
      </c>
      <c r="M45" s="66">
        <v>-2000</v>
      </c>
      <c r="N45" s="68">
        <f t="shared" si="1"/>
        <v>4000</v>
      </c>
      <c r="O45" s="66" t="str">
        <f t="shared" si="2"/>
        <v>Matt</v>
      </c>
      <c r="P45" s="70">
        <f t="shared" si="3"/>
        <v>3100</v>
      </c>
    </row>
    <row r="46" spans="1:16" x14ac:dyDescent="0.25">
      <c r="A46" s="66">
        <v>44</v>
      </c>
      <c r="B46" s="74"/>
      <c r="C46" s="66">
        <v>2600</v>
      </c>
      <c r="D46" s="66">
        <v>7600</v>
      </c>
      <c r="E46" s="66">
        <v>8</v>
      </c>
      <c r="F46" s="66">
        <v>6</v>
      </c>
      <c r="G46" s="66">
        <v>2000</v>
      </c>
      <c r="H46" s="68">
        <f t="shared" si="0"/>
        <v>12200</v>
      </c>
      <c r="I46" s="66">
        <v>800</v>
      </c>
      <c r="J46" s="66">
        <v>400</v>
      </c>
      <c r="K46" s="66">
        <v>1</v>
      </c>
      <c r="L46" s="66">
        <v>1</v>
      </c>
      <c r="M46" s="66">
        <v>0</v>
      </c>
      <c r="N46" s="68">
        <f t="shared" si="1"/>
        <v>1200</v>
      </c>
      <c r="O46" s="66" t="str">
        <f t="shared" si="2"/>
        <v>Matt</v>
      </c>
      <c r="P46" s="70">
        <f t="shared" si="3"/>
        <v>11000</v>
      </c>
    </row>
    <row r="47" spans="1:16" x14ac:dyDescent="0.25">
      <c r="A47" s="66">
        <v>45</v>
      </c>
      <c r="B47" s="74"/>
      <c r="C47" s="66">
        <v>2400</v>
      </c>
      <c r="D47" s="66">
        <v>7200</v>
      </c>
      <c r="E47" s="66">
        <v>3</v>
      </c>
      <c r="F47" s="66">
        <v>7</v>
      </c>
      <c r="G47" s="66">
        <v>-1600</v>
      </c>
      <c r="H47" s="68">
        <f t="shared" si="0"/>
        <v>8000</v>
      </c>
      <c r="I47" s="66">
        <v>2000</v>
      </c>
      <c r="J47" s="66">
        <v>1200</v>
      </c>
      <c r="K47" s="66">
        <v>4</v>
      </c>
      <c r="L47" s="66">
        <v>1</v>
      </c>
      <c r="M47" s="66">
        <v>0</v>
      </c>
      <c r="N47" s="68">
        <f t="shared" si="1"/>
        <v>3200</v>
      </c>
      <c r="O47" s="66" t="str">
        <f t="shared" si="2"/>
        <v>Matt</v>
      </c>
      <c r="P47" s="70">
        <f t="shared" si="3"/>
        <v>4800</v>
      </c>
    </row>
    <row r="48" spans="1:16" x14ac:dyDescent="0.25">
      <c r="A48" s="66">
        <v>46</v>
      </c>
      <c r="B48" s="74"/>
      <c r="C48" s="66">
        <v>5200</v>
      </c>
      <c r="D48" s="66">
        <v>4000</v>
      </c>
      <c r="E48" s="66">
        <v>8</v>
      </c>
      <c r="F48" s="66">
        <v>3</v>
      </c>
      <c r="G48" s="66">
        <v>-1500</v>
      </c>
      <c r="H48" s="68">
        <f t="shared" si="0"/>
        <v>7700</v>
      </c>
      <c r="I48" s="66">
        <v>1400</v>
      </c>
      <c r="J48" s="66">
        <v>4000</v>
      </c>
      <c r="K48" s="66">
        <v>4</v>
      </c>
      <c r="L48" s="66">
        <v>5</v>
      </c>
      <c r="M48" s="66">
        <v>-5400</v>
      </c>
      <c r="N48" s="68">
        <f t="shared" si="1"/>
        <v>0</v>
      </c>
      <c r="O48" s="66" t="str">
        <f t="shared" si="2"/>
        <v>Matt</v>
      </c>
      <c r="P48" s="70">
        <f t="shared" si="3"/>
        <v>7700</v>
      </c>
    </row>
    <row r="49" spans="1:18" x14ac:dyDescent="0.25">
      <c r="A49" s="66">
        <v>47</v>
      </c>
      <c r="B49" s="74"/>
      <c r="C49" s="66">
        <v>4200</v>
      </c>
      <c r="D49" s="66">
        <v>8400</v>
      </c>
      <c r="E49" s="66">
        <v>8</v>
      </c>
      <c r="F49" s="66">
        <v>6</v>
      </c>
      <c r="G49" s="66">
        <v>-500</v>
      </c>
      <c r="H49" s="68">
        <f t="shared" si="0"/>
        <v>12100</v>
      </c>
      <c r="I49" s="66">
        <v>2600</v>
      </c>
      <c r="J49" s="66">
        <v>4800</v>
      </c>
      <c r="K49" s="66">
        <v>5</v>
      </c>
      <c r="L49" s="66">
        <v>4</v>
      </c>
      <c r="M49" s="66">
        <v>-6400</v>
      </c>
      <c r="N49" s="68">
        <f t="shared" si="1"/>
        <v>1000</v>
      </c>
      <c r="O49" s="66" t="str">
        <f t="shared" si="2"/>
        <v>Matt</v>
      </c>
      <c r="P49" s="70">
        <f t="shared" si="3"/>
        <v>11100</v>
      </c>
    </row>
    <row r="50" spans="1:18" x14ac:dyDescent="0.25">
      <c r="A50" s="66">
        <v>48</v>
      </c>
      <c r="B50" s="74"/>
      <c r="C50" s="66">
        <v>1800</v>
      </c>
      <c r="D50" s="66">
        <v>3200</v>
      </c>
      <c r="E50" s="66">
        <v>3</v>
      </c>
      <c r="F50" s="66">
        <v>3</v>
      </c>
      <c r="G50" s="66">
        <v>-2500</v>
      </c>
      <c r="H50" s="68">
        <f t="shared" si="0"/>
        <v>2500</v>
      </c>
      <c r="I50" s="66">
        <v>3400</v>
      </c>
      <c r="J50" s="66">
        <v>4400</v>
      </c>
      <c r="K50" s="66">
        <v>8</v>
      </c>
      <c r="L50" s="66">
        <v>4</v>
      </c>
      <c r="M50" s="66">
        <v>-500</v>
      </c>
      <c r="N50" s="68">
        <f t="shared" si="1"/>
        <v>7300</v>
      </c>
      <c r="O50" s="66" t="str">
        <f t="shared" si="2"/>
        <v>Jamie</v>
      </c>
      <c r="P50" s="70">
        <f t="shared" si="3"/>
        <v>4800</v>
      </c>
    </row>
    <row r="51" spans="1:18" x14ac:dyDescent="0.25">
      <c r="A51" s="66">
        <v>49</v>
      </c>
      <c r="B51" s="74"/>
      <c r="C51" s="66">
        <v>1400</v>
      </c>
      <c r="D51" s="66">
        <v>1600</v>
      </c>
      <c r="E51" s="66">
        <v>3</v>
      </c>
      <c r="F51" s="66">
        <v>2</v>
      </c>
      <c r="G51" s="66">
        <v>0</v>
      </c>
      <c r="H51" s="68">
        <f t="shared" si="0"/>
        <v>3000</v>
      </c>
      <c r="I51" s="66">
        <v>3200</v>
      </c>
      <c r="J51" s="66">
        <v>4000</v>
      </c>
      <c r="K51" s="66">
        <v>8</v>
      </c>
      <c r="L51" s="66">
        <v>4</v>
      </c>
      <c r="M51" s="66">
        <v>-500</v>
      </c>
      <c r="N51" s="68">
        <f t="shared" si="1"/>
        <v>6700</v>
      </c>
      <c r="O51" s="66" t="str">
        <f t="shared" si="2"/>
        <v>Jamie</v>
      </c>
      <c r="P51" s="70">
        <f t="shared" si="3"/>
        <v>3700</v>
      </c>
    </row>
    <row r="52" spans="1:18" x14ac:dyDescent="0.25">
      <c r="A52" s="66">
        <v>50</v>
      </c>
      <c r="B52" s="74"/>
      <c r="C52" s="66">
        <v>1800</v>
      </c>
      <c r="D52" s="66">
        <v>400</v>
      </c>
      <c r="E52" s="66">
        <v>3</v>
      </c>
      <c r="F52" s="66">
        <v>1</v>
      </c>
      <c r="G52" s="66">
        <v>0</v>
      </c>
      <c r="H52" s="68">
        <f t="shared" si="0"/>
        <v>2200</v>
      </c>
      <c r="I52" s="66">
        <v>2200</v>
      </c>
      <c r="J52" s="66">
        <v>9200</v>
      </c>
      <c r="K52" s="66">
        <v>6</v>
      </c>
      <c r="L52" s="66">
        <v>8</v>
      </c>
      <c r="M52" s="66">
        <v>-200</v>
      </c>
      <c r="N52" s="68">
        <f t="shared" si="1"/>
        <v>11200</v>
      </c>
      <c r="O52" s="66" t="str">
        <f t="shared" si="2"/>
        <v>Jamie</v>
      </c>
      <c r="P52" s="70">
        <f t="shared" si="3"/>
        <v>9000</v>
      </c>
    </row>
    <row r="53" spans="1:18" x14ac:dyDescent="0.25">
      <c r="A53" s="66">
        <v>51</v>
      </c>
      <c r="B53" s="74"/>
      <c r="C53" s="66">
        <v>800</v>
      </c>
      <c r="D53" s="66">
        <v>6000</v>
      </c>
      <c r="E53" s="66">
        <v>2</v>
      </c>
      <c r="F53" s="66">
        <v>6</v>
      </c>
      <c r="G53" s="66">
        <v>-1000</v>
      </c>
      <c r="H53" s="68">
        <f t="shared" si="0"/>
        <v>5800</v>
      </c>
      <c r="I53" s="66">
        <v>2200</v>
      </c>
      <c r="J53" s="66">
        <v>5200</v>
      </c>
      <c r="K53" s="66">
        <v>5</v>
      </c>
      <c r="L53" s="66">
        <v>5</v>
      </c>
      <c r="M53" s="66">
        <v>-1000</v>
      </c>
      <c r="N53" s="68">
        <f t="shared" si="1"/>
        <v>6400</v>
      </c>
      <c r="O53" s="66" t="str">
        <f t="shared" si="2"/>
        <v>Jamie</v>
      </c>
      <c r="P53" s="70">
        <f t="shared" si="3"/>
        <v>600</v>
      </c>
    </row>
    <row r="54" spans="1:18" x14ac:dyDescent="0.25">
      <c r="A54" s="66">
        <v>52</v>
      </c>
      <c r="B54" s="74"/>
      <c r="C54" s="66">
        <v>1000</v>
      </c>
      <c r="D54" s="66">
        <v>1600</v>
      </c>
      <c r="E54" s="66">
        <v>3</v>
      </c>
      <c r="F54" s="66">
        <v>2</v>
      </c>
      <c r="H54" s="68">
        <f t="shared" si="0"/>
        <v>2600</v>
      </c>
      <c r="I54" s="66">
        <v>4200</v>
      </c>
      <c r="J54" s="66">
        <v>800</v>
      </c>
      <c r="K54" s="66">
        <v>8</v>
      </c>
      <c r="L54" s="66">
        <v>2</v>
      </c>
      <c r="N54" s="68">
        <f t="shared" si="1"/>
        <v>5000</v>
      </c>
      <c r="O54" s="66" t="str">
        <f t="shared" si="2"/>
        <v>Jamie</v>
      </c>
      <c r="P54" s="70">
        <f t="shared" si="3"/>
        <v>2400</v>
      </c>
    </row>
    <row r="55" spans="1:18" x14ac:dyDescent="0.25">
      <c r="A55" s="66">
        <v>53</v>
      </c>
      <c r="B55" s="74"/>
      <c r="C55" s="66">
        <v>2000</v>
      </c>
      <c r="D55" s="66">
        <v>2800</v>
      </c>
      <c r="E55" s="66">
        <v>4</v>
      </c>
      <c r="F55" s="66">
        <v>3</v>
      </c>
      <c r="G55" s="66">
        <v>-800</v>
      </c>
      <c r="H55" s="68">
        <f t="shared" si="0"/>
        <v>4000</v>
      </c>
      <c r="I55" s="66">
        <v>1600</v>
      </c>
      <c r="J55" s="66">
        <v>4800</v>
      </c>
      <c r="K55" s="66">
        <v>5</v>
      </c>
      <c r="L55" s="66">
        <v>3</v>
      </c>
      <c r="M55" s="66">
        <v>-400</v>
      </c>
      <c r="N55" s="68">
        <f t="shared" si="1"/>
        <v>6000</v>
      </c>
      <c r="O55" s="66" t="str">
        <f t="shared" si="2"/>
        <v>Jamie</v>
      </c>
      <c r="P55" s="70">
        <f t="shared" si="3"/>
        <v>2000</v>
      </c>
    </row>
    <row r="56" spans="1:18" x14ac:dyDescent="0.25">
      <c r="A56" s="66">
        <v>54</v>
      </c>
      <c r="B56" s="74"/>
      <c r="C56" s="66">
        <v>3200</v>
      </c>
      <c r="D56" s="66">
        <v>2000</v>
      </c>
      <c r="E56" s="66">
        <v>7</v>
      </c>
      <c r="F56" s="66">
        <v>4</v>
      </c>
      <c r="G56" s="66">
        <v>500</v>
      </c>
      <c r="H56" s="68">
        <f t="shared" si="0"/>
        <v>5700</v>
      </c>
      <c r="I56" s="66">
        <v>2000</v>
      </c>
      <c r="J56" s="66">
        <v>1600</v>
      </c>
      <c r="K56" s="66">
        <v>3</v>
      </c>
      <c r="L56" s="66">
        <v>1</v>
      </c>
      <c r="M56" s="66">
        <v>3600</v>
      </c>
      <c r="N56" s="68">
        <f t="shared" si="1"/>
        <v>7200</v>
      </c>
      <c r="O56" s="66" t="str">
        <f t="shared" si="2"/>
        <v>Jamie</v>
      </c>
      <c r="P56" s="70">
        <f t="shared" si="3"/>
        <v>1500</v>
      </c>
    </row>
    <row r="57" spans="1:18" x14ac:dyDescent="0.25">
      <c r="A57" s="66">
        <v>55</v>
      </c>
      <c r="B57" s="74"/>
      <c r="C57" s="66">
        <v>2200</v>
      </c>
      <c r="D57" s="66">
        <v>1600</v>
      </c>
      <c r="E57" s="66">
        <v>4</v>
      </c>
      <c r="F57" s="66">
        <v>2</v>
      </c>
      <c r="G57" s="66">
        <v>-3800</v>
      </c>
      <c r="H57" s="68">
        <f t="shared" si="0"/>
        <v>0</v>
      </c>
      <c r="I57" s="66">
        <v>3600</v>
      </c>
      <c r="J57" s="66">
        <v>7600</v>
      </c>
      <c r="K57" s="66">
        <v>6</v>
      </c>
      <c r="L57" s="66">
        <v>8</v>
      </c>
      <c r="M57" s="66">
        <v>-200</v>
      </c>
      <c r="N57" s="68">
        <f t="shared" si="1"/>
        <v>11000</v>
      </c>
      <c r="O57" s="66" t="str">
        <f t="shared" si="2"/>
        <v>Jamie</v>
      </c>
      <c r="P57" s="70">
        <f t="shared" si="3"/>
        <v>11000</v>
      </c>
    </row>
    <row r="58" spans="1:18" x14ac:dyDescent="0.25">
      <c r="A58" s="66">
        <v>56</v>
      </c>
      <c r="B58" s="74"/>
      <c r="C58" s="66">
        <v>1800</v>
      </c>
      <c r="D58" s="66">
        <v>3200</v>
      </c>
      <c r="E58" s="66">
        <v>3</v>
      </c>
      <c r="F58" s="66">
        <v>4</v>
      </c>
      <c r="G58" s="66">
        <v>-1200</v>
      </c>
      <c r="H58" s="68">
        <f t="shared" si="0"/>
        <v>3800</v>
      </c>
      <c r="I58" s="66">
        <v>3600</v>
      </c>
      <c r="J58" s="66">
        <v>2000</v>
      </c>
      <c r="K58" s="66">
        <v>6</v>
      </c>
      <c r="L58" s="66">
        <v>1</v>
      </c>
      <c r="M58" s="66">
        <v>-599</v>
      </c>
      <c r="N58" s="68">
        <f t="shared" si="1"/>
        <v>5001</v>
      </c>
      <c r="O58" s="66" t="str">
        <f t="shared" si="2"/>
        <v>Jamie</v>
      </c>
      <c r="P58" s="70">
        <f t="shared" si="3"/>
        <v>1201</v>
      </c>
    </row>
    <row r="59" spans="1:18" x14ac:dyDescent="0.25">
      <c r="A59" s="66">
        <v>57</v>
      </c>
      <c r="B59" s="74"/>
      <c r="C59" s="66">
        <v>3600</v>
      </c>
      <c r="D59" s="66">
        <v>3600</v>
      </c>
      <c r="E59" s="66">
        <v>6</v>
      </c>
      <c r="F59" s="66">
        <v>4</v>
      </c>
      <c r="G59" s="66">
        <v>-500</v>
      </c>
      <c r="H59" s="68">
        <f t="shared" si="0"/>
        <v>6700</v>
      </c>
      <c r="I59" s="66">
        <v>4800</v>
      </c>
      <c r="J59" s="66">
        <v>4000</v>
      </c>
      <c r="K59" s="66">
        <v>7</v>
      </c>
      <c r="L59" s="66">
        <v>5</v>
      </c>
      <c r="M59" s="66">
        <v>-2000</v>
      </c>
      <c r="N59" s="68">
        <f t="shared" si="1"/>
        <v>6800</v>
      </c>
      <c r="O59" s="66" t="str">
        <f t="shared" si="2"/>
        <v>Jamie</v>
      </c>
      <c r="P59" s="70">
        <f t="shared" si="3"/>
        <v>100</v>
      </c>
    </row>
    <row r="60" spans="1:18" x14ac:dyDescent="0.25">
      <c r="A60" s="66">
        <v>58</v>
      </c>
      <c r="B60" s="75">
        <v>43325.79184027778</v>
      </c>
      <c r="C60" s="66">
        <v>3000</v>
      </c>
      <c r="D60" s="66">
        <v>1600</v>
      </c>
      <c r="E60" s="66">
        <v>6</v>
      </c>
      <c r="F60" s="66">
        <v>2</v>
      </c>
      <c r="G60" s="66">
        <v>-2500</v>
      </c>
      <c r="H60" s="68">
        <f t="shared" si="0"/>
        <v>2100</v>
      </c>
      <c r="I60" s="66">
        <v>1800</v>
      </c>
      <c r="J60" s="66">
        <v>5200</v>
      </c>
      <c r="K60" s="66">
        <v>3</v>
      </c>
      <c r="L60" s="66">
        <v>5</v>
      </c>
      <c r="M60" s="66">
        <v>-1500</v>
      </c>
      <c r="N60" s="68">
        <f t="shared" si="1"/>
        <v>5500</v>
      </c>
      <c r="O60" s="66" t="str">
        <f t="shared" si="2"/>
        <v>Jamie</v>
      </c>
      <c r="P60" s="70">
        <f t="shared" si="3"/>
        <v>3400</v>
      </c>
    </row>
    <row r="61" spans="1:18" x14ac:dyDescent="0.25">
      <c r="A61" s="66">
        <v>59</v>
      </c>
      <c r="B61" s="75">
        <v>43325.812673611108</v>
      </c>
      <c r="C61" s="66">
        <v>3000</v>
      </c>
      <c r="D61" s="66">
        <v>2800</v>
      </c>
      <c r="E61" s="66">
        <v>6</v>
      </c>
      <c r="F61" s="66">
        <v>6</v>
      </c>
      <c r="G61" s="66">
        <v>5800</v>
      </c>
      <c r="H61" s="68">
        <f t="shared" si="0"/>
        <v>11600</v>
      </c>
      <c r="I61" s="66">
        <v>3600</v>
      </c>
      <c r="J61" s="66">
        <v>8000</v>
      </c>
      <c r="K61" s="66">
        <v>7</v>
      </c>
      <c r="L61" s="66">
        <v>7</v>
      </c>
      <c r="M61" s="66">
        <v>3000</v>
      </c>
      <c r="N61" s="68">
        <f t="shared" si="1"/>
        <v>14600</v>
      </c>
      <c r="O61" s="66" t="str">
        <f t="shared" si="2"/>
        <v>Jamie</v>
      </c>
      <c r="P61" s="70">
        <f t="shared" si="3"/>
        <v>3000</v>
      </c>
    </row>
    <row r="62" spans="1:18" x14ac:dyDescent="0.25">
      <c r="A62" s="66">
        <v>60</v>
      </c>
      <c r="B62" s="75">
        <v>43326.82309027778</v>
      </c>
      <c r="C62" s="66">
        <v>1400</v>
      </c>
      <c r="D62" s="66">
        <v>7600</v>
      </c>
      <c r="E62" s="66">
        <v>3</v>
      </c>
      <c r="F62" s="66">
        <v>6</v>
      </c>
      <c r="G62" s="66">
        <v>2300</v>
      </c>
      <c r="H62" s="68">
        <f t="shared" si="0"/>
        <v>11300</v>
      </c>
      <c r="I62" s="66">
        <v>1000</v>
      </c>
      <c r="J62" s="66">
        <v>3200</v>
      </c>
      <c r="K62" s="66">
        <v>4</v>
      </c>
      <c r="L62" s="66">
        <v>3</v>
      </c>
      <c r="M62" s="66">
        <v>-4200</v>
      </c>
      <c r="N62" s="68">
        <f t="shared" si="1"/>
        <v>0</v>
      </c>
      <c r="O62" s="66" t="str">
        <f t="shared" si="2"/>
        <v>Matt</v>
      </c>
      <c r="P62" s="70">
        <f t="shared" si="3"/>
        <v>11300</v>
      </c>
    </row>
    <row r="63" spans="1:18" x14ac:dyDescent="0.25">
      <c r="A63" s="71">
        <v>61</v>
      </c>
      <c r="B63" s="76">
        <v>43353.823599537034</v>
      </c>
      <c r="C63" s="71">
        <v>2800</v>
      </c>
      <c r="D63" s="71">
        <v>5600</v>
      </c>
      <c r="E63" s="71">
        <v>6</v>
      </c>
      <c r="F63" s="71">
        <v>5</v>
      </c>
      <c r="G63" s="71">
        <v>1500</v>
      </c>
      <c r="H63" s="72">
        <f t="shared" si="0"/>
        <v>9900</v>
      </c>
      <c r="I63" s="71">
        <v>3200</v>
      </c>
      <c r="J63" s="71">
        <v>2000</v>
      </c>
      <c r="K63" s="71">
        <v>5</v>
      </c>
      <c r="L63" s="71">
        <v>3</v>
      </c>
      <c r="M63" s="71">
        <v>5200</v>
      </c>
      <c r="N63" s="72">
        <f t="shared" si="1"/>
        <v>10400</v>
      </c>
      <c r="O63" s="71" t="str">
        <f t="shared" si="2"/>
        <v>Jamie</v>
      </c>
      <c r="P63" s="73">
        <f t="shared" si="3"/>
        <v>500</v>
      </c>
      <c r="Q63" s="71"/>
      <c r="R63" s="71"/>
    </row>
    <row r="64" spans="1:18" x14ac:dyDescent="0.25">
      <c r="A64" s="66">
        <v>62</v>
      </c>
      <c r="B64" s="75">
        <v>43354.818761574075</v>
      </c>
      <c r="C64" s="66">
        <v>1400</v>
      </c>
      <c r="D64" s="66">
        <v>4400</v>
      </c>
      <c r="E64" s="66">
        <v>2</v>
      </c>
      <c r="F64" s="66">
        <v>5</v>
      </c>
      <c r="G64" s="66">
        <v>-5800</v>
      </c>
      <c r="H64" s="68">
        <f t="shared" si="0"/>
        <v>0</v>
      </c>
      <c r="I64" s="66">
        <v>6000</v>
      </c>
      <c r="J64" s="66">
        <v>5600</v>
      </c>
      <c r="K64" s="66">
        <v>11</v>
      </c>
      <c r="L64" s="66">
        <v>6</v>
      </c>
      <c r="M64" s="66">
        <v>-600</v>
      </c>
      <c r="N64" s="68">
        <f t="shared" si="1"/>
        <v>11000</v>
      </c>
      <c r="O64" s="66" t="str">
        <f t="shared" si="2"/>
        <v>Jamie</v>
      </c>
      <c r="P64" s="70">
        <f t="shared" si="3"/>
        <v>11000</v>
      </c>
    </row>
    <row r="65" spans="1:16" x14ac:dyDescent="0.25">
      <c r="A65" s="66">
        <v>63</v>
      </c>
      <c r="B65" s="75">
        <v>43356.831585648149</v>
      </c>
      <c r="C65" s="66">
        <v>3000</v>
      </c>
      <c r="D65" s="66">
        <v>2800</v>
      </c>
      <c r="E65" s="66">
        <v>5</v>
      </c>
      <c r="F65" s="66">
        <v>3</v>
      </c>
      <c r="G65" s="66">
        <v>-999</v>
      </c>
      <c r="H65" s="68">
        <f t="shared" si="0"/>
        <v>4801</v>
      </c>
      <c r="I65" s="66">
        <v>3200</v>
      </c>
      <c r="J65" s="66">
        <v>1600</v>
      </c>
      <c r="K65" s="66">
        <v>7</v>
      </c>
      <c r="L65" s="66">
        <v>2</v>
      </c>
      <c r="M65" s="66">
        <v>-1001</v>
      </c>
      <c r="N65" s="68">
        <f t="shared" si="1"/>
        <v>3799</v>
      </c>
      <c r="O65" s="66" t="str">
        <f t="shared" si="2"/>
        <v>Matt</v>
      </c>
      <c r="P65" s="70">
        <f t="shared" si="3"/>
        <v>1002</v>
      </c>
    </row>
    <row r="66" spans="1:16" x14ac:dyDescent="0.25">
      <c r="A66" s="66">
        <v>64</v>
      </c>
      <c r="B66" s="75">
        <v>43361.830150462964</v>
      </c>
      <c r="C66" s="66">
        <v>2800</v>
      </c>
      <c r="D66" s="66">
        <v>400</v>
      </c>
      <c r="E66" s="66">
        <v>7</v>
      </c>
      <c r="F66" s="66">
        <v>1</v>
      </c>
      <c r="G66" s="66">
        <v>-3200</v>
      </c>
      <c r="H66" s="68">
        <f t="shared" si="0"/>
        <v>0</v>
      </c>
      <c r="I66" s="66">
        <v>4800</v>
      </c>
      <c r="J66" s="66">
        <v>6000</v>
      </c>
      <c r="K66" s="66">
        <v>6</v>
      </c>
      <c r="L66" s="66">
        <v>6</v>
      </c>
      <c r="M66" s="66">
        <v>-701</v>
      </c>
      <c r="N66" s="68">
        <f t="shared" si="1"/>
        <v>10099</v>
      </c>
      <c r="O66" s="66" t="str">
        <f t="shared" si="2"/>
        <v>Jamie</v>
      </c>
      <c r="P66" s="70">
        <f t="shared" si="3"/>
        <v>10099</v>
      </c>
    </row>
    <row r="67" spans="1:16" x14ac:dyDescent="0.25">
      <c r="A67" s="66">
        <v>65</v>
      </c>
      <c r="B67" s="75">
        <v>43363.861828703702</v>
      </c>
      <c r="C67" s="66">
        <v>1400</v>
      </c>
      <c r="D67" s="66">
        <v>2800</v>
      </c>
      <c r="E67" s="66">
        <v>3</v>
      </c>
      <c r="F67" s="66">
        <v>3</v>
      </c>
      <c r="G67" s="66">
        <v>0</v>
      </c>
      <c r="H67" s="68">
        <f t="shared" si="0"/>
        <v>4200</v>
      </c>
      <c r="I67" s="66">
        <v>4800</v>
      </c>
      <c r="J67" s="66">
        <v>5200</v>
      </c>
      <c r="K67" s="66">
        <v>9</v>
      </c>
      <c r="L67" s="66">
        <v>5</v>
      </c>
      <c r="M67" s="66">
        <v>-12</v>
      </c>
      <c r="N67" s="68">
        <f t="shared" si="1"/>
        <v>9988</v>
      </c>
      <c r="O67" s="66" t="str">
        <f t="shared" si="2"/>
        <v>Jamie</v>
      </c>
      <c r="P67" s="70">
        <f t="shared" si="3"/>
        <v>5788</v>
      </c>
    </row>
    <row r="68" spans="1:16" x14ac:dyDescent="0.25">
      <c r="A68" s="66">
        <v>66</v>
      </c>
      <c r="B68" s="75">
        <v>43363.88077546296</v>
      </c>
      <c r="C68" s="66">
        <v>3800</v>
      </c>
      <c r="D68" s="66">
        <v>6400</v>
      </c>
      <c r="E68" s="66">
        <v>6</v>
      </c>
      <c r="F68" s="66">
        <v>6</v>
      </c>
      <c r="G68" s="66">
        <v>-1000</v>
      </c>
      <c r="H68" s="68">
        <f t="shared" ref="H68:H93" si="4">C68+D68+G68</f>
        <v>9200</v>
      </c>
      <c r="I68" s="66">
        <v>3000</v>
      </c>
      <c r="J68" s="66">
        <v>5600</v>
      </c>
      <c r="K68" s="66">
        <v>8</v>
      </c>
      <c r="L68" s="66">
        <v>5</v>
      </c>
      <c r="M68" s="66">
        <v>-6000</v>
      </c>
      <c r="N68" s="68">
        <f t="shared" ref="N68:N93" si="5">I68+J68+M68</f>
        <v>2600</v>
      </c>
      <c r="O68" s="66" t="str">
        <f t="shared" ref="O68:O93" si="6">IF(H68&gt;N68,$C$1,$J$1)</f>
        <v>Matt</v>
      </c>
      <c r="P68" s="70">
        <f t="shared" ref="P68:P93" si="7">IF(H68&gt;N68,H68-N68,N68-H68)</f>
        <v>6600</v>
      </c>
    </row>
    <row r="69" spans="1:16" x14ac:dyDescent="0.25">
      <c r="A69" s="66">
        <v>67</v>
      </c>
      <c r="B69" s="75">
        <v>43363.894490740742</v>
      </c>
      <c r="C69" s="66">
        <v>5200</v>
      </c>
      <c r="D69" s="66">
        <v>800</v>
      </c>
      <c r="E69" s="66">
        <v>9</v>
      </c>
      <c r="F69" s="66">
        <v>2</v>
      </c>
      <c r="G69" s="66">
        <v>-1500</v>
      </c>
      <c r="H69" s="68">
        <f t="shared" si="4"/>
        <v>4500</v>
      </c>
      <c r="I69" s="66">
        <v>600</v>
      </c>
      <c r="J69" s="66">
        <v>800</v>
      </c>
      <c r="K69" s="66">
        <v>3</v>
      </c>
      <c r="L69" s="66">
        <v>1</v>
      </c>
      <c r="M69" s="66">
        <v>-1400</v>
      </c>
      <c r="N69" s="68">
        <f t="shared" si="5"/>
        <v>0</v>
      </c>
      <c r="O69" s="66" t="str">
        <f t="shared" si="6"/>
        <v>Matt</v>
      </c>
      <c r="P69" s="70">
        <f t="shared" si="7"/>
        <v>4500</v>
      </c>
    </row>
    <row r="70" spans="1:16" x14ac:dyDescent="0.25">
      <c r="A70" s="66">
        <v>68</v>
      </c>
      <c r="B70" s="75">
        <v>43363.913124999999</v>
      </c>
      <c r="C70" s="66">
        <v>3800</v>
      </c>
      <c r="D70" s="66">
        <v>800</v>
      </c>
      <c r="E70" s="66">
        <v>7</v>
      </c>
      <c r="F70" s="66">
        <v>2</v>
      </c>
      <c r="G70" s="66">
        <v>-2000</v>
      </c>
      <c r="H70" s="68">
        <f t="shared" si="4"/>
        <v>2600</v>
      </c>
      <c r="I70" s="66">
        <v>2400</v>
      </c>
      <c r="J70" s="66">
        <v>3200</v>
      </c>
      <c r="K70" s="66">
        <v>5</v>
      </c>
      <c r="L70" s="66">
        <v>3</v>
      </c>
      <c r="M70" s="66">
        <v>-999</v>
      </c>
      <c r="N70" s="68">
        <f t="shared" si="5"/>
        <v>4601</v>
      </c>
      <c r="O70" s="66" t="str">
        <f t="shared" si="6"/>
        <v>Jamie</v>
      </c>
      <c r="P70" s="70">
        <f t="shared" si="7"/>
        <v>2001</v>
      </c>
    </row>
    <row r="71" spans="1:16" x14ac:dyDescent="0.25">
      <c r="A71" s="66">
        <v>69</v>
      </c>
      <c r="B71" s="75">
        <v>43367.808206018519</v>
      </c>
      <c r="C71" s="66">
        <v>2600</v>
      </c>
      <c r="D71" s="66">
        <v>6400</v>
      </c>
      <c r="E71" s="66">
        <v>4</v>
      </c>
      <c r="F71" s="66">
        <v>6</v>
      </c>
      <c r="G71" s="66">
        <v>-1001</v>
      </c>
      <c r="H71" s="68">
        <f t="shared" si="4"/>
        <v>7999</v>
      </c>
      <c r="I71" s="66">
        <v>2200</v>
      </c>
      <c r="J71" s="66">
        <v>2400</v>
      </c>
      <c r="K71" s="66">
        <v>4</v>
      </c>
      <c r="L71" s="66">
        <v>2</v>
      </c>
      <c r="M71" s="66">
        <v>4600</v>
      </c>
      <c r="N71" s="68">
        <f t="shared" si="5"/>
        <v>9200</v>
      </c>
      <c r="O71" s="66" t="str">
        <f t="shared" si="6"/>
        <v>Jamie</v>
      </c>
      <c r="P71" s="70">
        <f t="shared" si="7"/>
        <v>1201</v>
      </c>
    </row>
    <row r="72" spans="1:16" x14ac:dyDescent="0.25">
      <c r="A72" s="66">
        <v>70</v>
      </c>
      <c r="B72" s="75">
        <v>43367.823333333334</v>
      </c>
      <c r="C72" s="66">
        <v>4600</v>
      </c>
      <c r="D72" s="66">
        <v>3600</v>
      </c>
      <c r="E72" s="66">
        <v>8</v>
      </c>
      <c r="F72" s="66">
        <v>5</v>
      </c>
      <c r="G72" s="66">
        <v>-999</v>
      </c>
      <c r="H72" s="68">
        <f t="shared" si="4"/>
        <v>7201</v>
      </c>
      <c r="I72" s="66">
        <v>4800</v>
      </c>
      <c r="J72" s="66">
        <v>1600</v>
      </c>
      <c r="K72" s="66">
        <v>9</v>
      </c>
      <c r="L72" s="66">
        <v>1</v>
      </c>
      <c r="M72" s="66">
        <v>-1000</v>
      </c>
      <c r="N72" s="68">
        <f t="shared" si="5"/>
        <v>5400</v>
      </c>
      <c r="O72" s="66" t="str">
        <f t="shared" si="6"/>
        <v>Matt</v>
      </c>
      <c r="P72" s="70">
        <f t="shared" si="7"/>
        <v>1801</v>
      </c>
    </row>
    <row r="73" spans="1:16" x14ac:dyDescent="0.25">
      <c r="A73" s="66">
        <v>71</v>
      </c>
      <c r="B73" s="75">
        <v>43368.837719907409</v>
      </c>
      <c r="C73" s="66">
        <v>4000</v>
      </c>
      <c r="D73" s="66">
        <v>5200</v>
      </c>
      <c r="E73" s="66">
        <v>6</v>
      </c>
      <c r="F73" s="66">
        <v>5</v>
      </c>
      <c r="G73" s="66">
        <v>0</v>
      </c>
      <c r="H73" s="68">
        <f t="shared" si="4"/>
        <v>9200</v>
      </c>
      <c r="I73" s="66">
        <v>3600</v>
      </c>
      <c r="J73" s="66">
        <v>3200</v>
      </c>
      <c r="K73" s="66">
        <v>6</v>
      </c>
      <c r="L73" s="66">
        <v>3</v>
      </c>
      <c r="M73" s="66">
        <v>0</v>
      </c>
      <c r="N73" s="68">
        <f t="shared" si="5"/>
        <v>6800</v>
      </c>
      <c r="O73" s="66" t="str">
        <f t="shared" si="6"/>
        <v>Matt</v>
      </c>
      <c r="P73" s="70">
        <f t="shared" si="7"/>
        <v>2400</v>
      </c>
    </row>
    <row r="74" spans="1:16" x14ac:dyDescent="0.25">
      <c r="A74" s="66">
        <v>72</v>
      </c>
      <c r="B74" s="75">
        <v>43370.935046296298</v>
      </c>
      <c r="C74" s="66">
        <v>2600</v>
      </c>
      <c r="D74" s="66">
        <v>1600</v>
      </c>
      <c r="E74" s="66">
        <v>5</v>
      </c>
      <c r="F74" s="66">
        <v>3</v>
      </c>
      <c r="G74" s="66">
        <v>0</v>
      </c>
      <c r="H74" s="68">
        <f t="shared" si="4"/>
        <v>4200</v>
      </c>
      <c r="I74" s="66">
        <v>1800</v>
      </c>
      <c r="J74" s="66">
        <v>6800</v>
      </c>
      <c r="K74" s="66">
        <v>4</v>
      </c>
      <c r="L74" s="66">
        <v>7</v>
      </c>
      <c r="M74" s="66">
        <v>0</v>
      </c>
      <c r="N74" s="68">
        <f t="shared" si="5"/>
        <v>8600</v>
      </c>
      <c r="O74" s="66" t="str">
        <f t="shared" si="6"/>
        <v>Jamie</v>
      </c>
      <c r="P74" s="70">
        <f t="shared" si="7"/>
        <v>4400</v>
      </c>
    </row>
    <row r="75" spans="1:16" x14ac:dyDescent="0.25">
      <c r="A75" s="66">
        <v>73</v>
      </c>
      <c r="B75" s="75">
        <v>43374.818067129629</v>
      </c>
      <c r="C75" s="66">
        <v>4800</v>
      </c>
      <c r="D75" s="66">
        <v>2800</v>
      </c>
      <c r="E75" s="66">
        <v>7</v>
      </c>
      <c r="F75" s="66">
        <v>4</v>
      </c>
      <c r="G75" s="66">
        <v>600</v>
      </c>
      <c r="H75" s="68">
        <f t="shared" si="4"/>
        <v>8200</v>
      </c>
      <c r="I75" s="66">
        <v>3800</v>
      </c>
      <c r="J75" s="66">
        <v>3600</v>
      </c>
      <c r="K75" s="66">
        <v>8</v>
      </c>
      <c r="L75" s="66">
        <v>4</v>
      </c>
      <c r="M75" s="66">
        <v>50</v>
      </c>
      <c r="N75" s="68">
        <f t="shared" si="5"/>
        <v>7450</v>
      </c>
      <c r="O75" s="66" t="str">
        <f t="shared" si="6"/>
        <v>Matt</v>
      </c>
      <c r="P75" s="70">
        <f t="shared" si="7"/>
        <v>750</v>
      </c>
    </row>
    <row r="76" spans="1:16" x14ac:dyDescent="0.25">
      <c r="A76" s="66">
        <v>74</v>
      </c>
      <c r="B76" s="75">
        <v>43374.834594907406</v>
      </c>
      <c r="C76" s="66">
        <v>600</v>
      </c>
      <c r="D76" s="66">
        <v>2400</v>
      </c>
      <c r="E76" s="66">
        <v>2</v>
      </c>
      <c r="F76" s="66">
        <v>3</v>
      </c>
      <c r="G76" s="66">
        <v>-3000</v>
      </c>
      <c r="H76" s="68">
        <f t="shared" si="4"/>
        <v>0</v>
      </c>
      <c r="I76" s="66">
        <v>4800</v>
      </c>
      <c r="J76" s="66">
        <v>2800</v>
      </c>
      <c r="K76" s="66">
        <v>9</v>
      </c>
      <c r="L76" s="66">
        <v>4</v>
      </c>
      <c r="M76" s="66">
        <v>0</v>
      </c>
      <c r="N76" s="68">
        <f t="shared" si="5"/>
        <v>7600</v>
      </c>
      <c r="O76" s="66" t="str">
        <f t="shared" si="6"/>
        <v>Jamie</v>
      </c>
      <c r="P76" s="70">
        <f t="shared" si="7"/>
        <v>7600</v>
      </c>
    </row>
    <row r="77" spans="1:16" x14ac:dyDescent="0.25">
      <c r="A77" s="66">
        <v>75</v>
      </c>
      <c r="B77" s="75">
        <v>43396.83666666667</v>
      </c>
      <c r="C77" s="66">
        <v>2400</v>
      </c>
      <c r="D77" s="66">
        <v>3600</v>
      </c>
      <c r="E77" s="66">
        <v>6</v>
      </c>
      <c r="F77" s="66">
        <v>4</v>
      </c>
      <c r="G77" s="66">
        <v>-3000</v>
      </c>
      <c r="H77" s="68">
        <f t="shared" si="4"/>
        <v>3000</v>
      </c>
      <c r="I77" s="66">
        <v>3200</v>
      </c>
      <c r="J77" s="66">
        <v>3600</v>
      </c>
      <c r="K77" s="66">
        <v>5</v>
      </c>
      <c r="L77" s="66">
        <v>4</v>
      </c>
      <c r="M77" s="66">
        <v>-100</v>
      </c>
      <c r="N77" s="68">
        <f t="shared" si="5"/>
        <v>6700</v>
      </c>
      <c r="O77" s="66" t="str">
        <f t="shared" si="6"/>
        <v>Jamie</v>
      </c>
      <c r="P77" s="70">
        <f t="shared" si="7"/>
        <v>3700</v>
      </c>
    </row>
    <row r="78" spans="1:16" x14ac:dyDescent="0.25">
      <c r="A78" s="66">
        <v>76</v>
      </c>
      <c r="B78" s="75">
        <v>43396.853645833333</v>
      </c>
      <c r="C78" s="66">
        <v>9200</v>
      </c>
      <c r="D78" s="66">
        <v>0</v>
      </c>
      <c r="E78" s="66">
        <v>1</v>
      </c>
      <c r="F78" s="66">
        <v>0</v>
      </c>
      <c r="G78" s="66">
        <v>-500</v>
      </c>
      <c r="H78" s="68">
        <f t="shared" si="4"/>
        <v>8700</v>
      </c>
      <c r="I78" s="66">
        <v>6800</v>
      </c>
      <c r="J78" s="66">
        <v>0</v>
      </c>
      <c r="K78" s="66">
        <v>1</v>
      </c>
      <c r="L78" s="66">
        <v>0</v>
      </c>
      <c r="M78" s="66">
        <v>-3000</v>
      </c>
      <c r="N78" s="68">
        <f t="shared" si="5"/>
        <v>3800</v>
      </c>
      <c r="O78" s="66" t="str">
        <f t="shared" si="6"/>
        <v>Matt</v>
      </c>
      <c r="P78" s="70">
        <f t="shared" si="7"/>
        <v>4900</v>
      </c>
    </row>
    <row r="79" spans="1:16" x14ac:dyDescent="0.25">
      <c r="A79" s="66">
        <v>77</v>
      </c>
      <c r="B79" s="75">
        <v>43402.8669212963</v>
      </c>
      <c r="C79" s="66">
        <v>3200</v>
      </c>
      <c r="D79" s="66">
        <v>400</v>
      </c>
      <c r="E79" s="66">
        <v>5</v>
      </c>
      <c r="F79" s="66">
        <v>1</v>
      </c>
      <c r="G79" s="66">
        <v>-3200</v>
      </c>
      <c r="H79" s="68">
        <f t="shared" si="4"/>
        <v>400</v>
      </c>
      <c r="I79" s="66">
        <v>2600</v>
      </c>
      <c r="J79" s="66">
        <v>2800</v>
      </c>
      <c r="K79" s="66">
        <v>6</v>
      </c>
      <c r="L79" s="66">
        <v>3</v>
      </c>
      <c r="M79" s="66">
        <v>-200</v>
      </c>
      <c r="N79" s="68">
        <f t="shared" si="5"/>
        <v>5200</v>
      </c>
      <c r="O79" s="66" t="str">
        <f t="shared" si="6"/>
        <v>Jamie</v>
      </c>
      <c r="P79" s="70">
        <f t="shared" si="7"/>
        <v>4800</v>
      </c>
    </row>
    <row r="80" spans="1:16" x14ac:dyDescent="0.25">
      <c r="A80" s="66">
        <v>78</v>
      </c>
      <c r="B80" s="75">
        <v>43402.891458333332</v>
      </c>
      <c r="C80" s="66">
        <v>3200</v>
      </c>
      <c r="D80" s="66">
        <v>4000</v>
      </c>
      <c r="E80" s="66">
        <v>6</v>
      </c>
      <c r="F80" s="66">
        <v>4</v>
      </c>
      <c r="G80" s="66">
        <v>-1000</v>
      </c>
      <c r="H80" s="68">
        <f t="shared" si="4"/>
        <v>6200</v>
      </c>
      <c r="I80" s="66">
        <v>2600</v>
      </c>
      <c r="J80" s="66">
        <v>2400</v>
      </c>
      <c r="K80" s="66">
        <v>5</v>
      </c>
      <c r="L80" s="66">
        <v>4</v>
      </c>
      <c r="M80" s="66">
        <v>-3000</v>
      </c>
      <c r="N80" s="68">
        <f t="shared" si="5"/>
        <v>2000</v>
      </c>
      <c r="O80" s="66" t="str">
        <f t="shared" si="6"/>
        <v>Matt</v>
      </c>
      <c r="P80" s="70">
        <f t="shared" si="7"/>
        <v>4200</v>
      </c>
    </row>
    <row r="81" spans="1:16" x14ac:dyDescent="0.25">
      <c r="A81" s="66">
        <v>79</v>
      </c>
      <c r="B81" s="75">
        <v>43403.81181712963</v>
      </c>
      <c r="C81" s="66">
        <v>800</v>
      </c>
      <c r="D81" s="66">
        <v>3200</v>
      </c>
      <c r="E81" s="66">
        <v>2</v>
      </c>
      <c r="F81" s="66">
        <v>3</v>
      </c>
      <c r="G81" s="66">
        <v>-4000</v>
      </c>
      <c r="H81" s="68">
        <f t="shared" si="4"/>
        <v>0</v>
      </c>
      <c r="I81" s="66">
        <v>3600</v>
      </c>
      <c r="J81" s="66">
        <v>3600</v>
      </c>
      <c r="K81" s="66">
        <v>6</v>
      </c>
      <c r="L81" s="66">
        <v>4</v>
      </c>
      <c r="M81" s="66">
        <v>-200</v>
      </c>
      <c r="N81" s="68">
        <f t="shared" si="5"/>
        <v>7000</v>
      </c>
      <c r="O81" s="66" t="str">
        <f t="shared" si="6"/>
        <v>Jamie</v>
      </c>
      <c r="P81" s="70">
        <f t="shared" si="7"/>
        <v>7000</v>
      </c>
    </row>
    <row r="82" spans="1:16" x14ac:dyDescent="0.25">
      <c r="A82" s="66">
        <v>80</v>
      </c>
      <c r="B82" s="75">
        <v>43403.826053240744</v>
      </c>
      <c r="C82" s="66">
        <v>5000</v>
      </c>
      <c r="D82" s="66">
        <v>6400</v>
      </c>
      <c r="E82" s="66">
        <v>7</v>
      </c>
      <c r="F82" s="66">
        <v>5</v>
      </c>
      <c r="G82" s="66">
        <f>0</f>
        <v>0</v>
      </c>
      <c r="H82" s="68">
        <f t="shared" si="4"/>
        <v>11400</v>
      </c>
      <c r="I82" s="66">
        <v>1400</v>
      </c>
      <c r="J82" s="66">
        <v>4800</v>
      </c>
      <c r="K82" s="66">
        <v>4</v>
      </c>
      <c r="L82" s="66">
        <v>6</v>
      </c>
      <c r="M82" s="66">
        <v>0</v>
      </c>
      <c r="N82" s="68">
        <f t="shared" si="5"/>
        <v>6200</v>
      </c>
      <c r="O82" s="66" t="str">
        <f t="shared" si="6"/>
        <v>Matt</v>
      </c>
      <c r="P82" s="70">
        <f t="shared" si="7"/>
        <v>5200</v>
      </c>
    </row>
    <row r="83" spans="1:16" x14ac:dyDescent="0.25">
      <c r="A83" s="66">
        <v>81</v>
      </c>
      <c r="B83" s="75">
        <v>43405.826909722222</v>
      </c>
      <c r="C83" s="66">
        <v>2200</v>
      </c>
      <c r="D83" s="66">
        <v>5600</v>
      </c>
      <c r="E83" s="66">
        <v>5</v>
      </c>
      <c r="F83" s="66">
        <v>6</v>
      </c>
      <c r="G83" s="66">
        <v>-2200</v>
      </c>
      <c r="H83" s="68">
        <f t="shared" si="4"/>
        <v>5600</v>
      </c>
      <c r="I83" s="66">
        <v>2000</v>
      </c>
      <c r="J83" s="66">
        <v>4000</v>
      </c>
      <c r="K83" s="66">
        <v>3</v>
      </c>
      <c r="L83" s="66">
        <v>4</v>
      </c>
      <c r="M83" s="66">
        <v>2000</v>
      </c>
      <c r="N83" s="68">
        <f t="shared" si="5"/>
        <v>8000</v>
      </c>
      <c r="O83" s="66" t="str">
        <f t="shared" si="6"/>
        <v>Jamie</v>
      </c>
      <c r="P83" s="70">
        <f t="shared" si="7"/>
        <v>2400</v>
      </c>
    </row>
    <row r="84" spans="1:16" x14ac:dyDescent="0.25">
      <c r="A84" s="66">
        <v>82</v>
      </c>
      <c r="B84" s="75">
        <v>43405.865393518521</v>
      </c>
      <c r="C84" s="66">
        <v>1000</v>
      </c>
      <c r="D84" s="66">
        <v>5600</v>
      </c>
      <c r="E84" s="66">
        <v>4</v>
      </c>
      <c r="F84" s="66">
        <v>5</v>
      </c>
      <c r="G84" s="66">
        <v>-300</v>
      </c>
      <c r="H84" s="68">
        <f t="shared" si="4"/>
        <v>6300</v>
      </c>
      <c r="I84" s="66">
        <v>3600</v>
      </c>
      <c r="J84" s="66">
        <v>3200</v>
      </c>
      <c r="K84" s="66">
        <v>7</v>
      </c>
      <c r="L84" s="66">
        <v>3</v>
      </c>
      <c r="M84" s="66">
        <v>-1000</v>
      </c>
      <c r="N84" s="68">
        <f t="shared" si="5"/>
        <v>5800</v>
      </c>
      <c r="O84" s="66" t="str">
        <f t="shared" si="6"/>
        <v>Matt</v>
      </c>
      <c r="P84" s="70">
        <f t="shared" si="7"/>
        <v>500</v>
      </c>
    </row>
    <row r="85" spans="1:16" x14ac:dyDescent="0.25">
      <c r="A85" s="66">
        <v>83</v>
      </c>
      <c r="B85" s="75">
        <v>43409.814930555556</v>
      </c>
      <c r="C85" s="66">
        <v>5400</v>
      </c>
      <c r="D85" s="66">
        <v>4000</v>
      </c>
      <c r="E85" s="66">
        <v>9</v>
      </c>
      <c r="F85" s="66">
        <v>5</v>
      </c>
      <c r="G85" s="66">
        <v>-3000</v>
      </c>
      <c r="H85" s="68">
        <f t="shared" si="4"/>
        <v>6400</v>
      </c>
      <c r="I85" s="66">
        <v>4400</v>
      </c>
      <c r="J85" s="66">
        <v>3200</v>
      </c>
      <c r="K85" s="66">
        <v>8</v>
      </c>
      <c r="L85" s="66">
        <v>3</v>
      </c>
      <c r="M85" s="66">
        <v>-4000</v>
      </c>
      <c r="N85" s="68">
        <f t="shared" si="5"/>
        <v>3600</v>
      </c>
      <c r="O85" s="66" t="str">
        <f t="shared" si="6"/>
        <v>Matt</v>
      </c>
      <c r="P85" s="70">
        <f t="shared" si="7"/>
        <v>2800</v>
      </c>
    </row>
    <row r="86" spans="1:16" x14ac:dyDescent="0.25">
      <c r="A86" s="66">
        <v>84</v>
      </c>
      <c r="B86" s="75">
        <v>43412.877118055556</v>
      </c>
      <c r="C86" s="66">
        <v>4600</v>
      </c>
      <c r="D86" s="66">
        <v>4000</v>
      </c>
      <c r="E86" s="66">
        <v>9</v>
      </c>
      <c r="F86" s="66">
        <v>5</v>
      </c>
      <c r="G86" s="66">
        <v>-1400</v>
      </c>
      <c r="H86" s="68">
        <f t="shared" si="4"/>
        <v>7200</v>
      </c>
      <c r="I86" s="66">
        <v>2000</v>
      </c>
      <c r="J86" s="66">
        <v>2800</v>
      </c>
      <c r="K86" s="66">
        <v>5</v>
      </c>
      <c r="L86" s="66">
        <v>3</v>
      </c>
      <c r="M86" s="66">
        <v>-4800</v>
      </c>
      <c r="N86" s="68">
        <f t="shared" si="5"/>
        <v>0</v>
      </c>
      <c r="O86" s="66" t="str">
        <f t="shared" si="6"/>
        <v>Matt</v>
      </c>
      <c r="P86" s="70">
        <f t="shared" si="7"/>
        <v>7200</v>
      </c>
    </row>
    <row r="87" spans="1:16" x14ac:dyDescent="0.25">
      <c r="A87" s="66">
        <v>85</v>
      </c>
      <c r="B87" s="75">
        <v>43412.901493055557</v>
      </c>
      <c r="C87" s="66">
        <v>3600</v>
      </c>
      <c r="D87" s="66">
        <v>6800</v>
      </c>
      <c r="E87" s="66">
        <v>7</v>
      </c>
      <c r="F87" s="66">
        <v>6</v>
      </c>
      <c r="G87" s="66">
        <v>-399</v>
      </c>
      <c r="H87" s="68">
        <f t="shared" si="4"/>
        <v>10001</v>
      </c>
      <c r="I87" s="66">
        <v>2600</v>
      </c>
      <c r="J87" s="66">
        <v>4800</v>
      </c>
      <c r="K87" s="66">
        <v>6</v>
      </c>
      <c r="L87" s="66">
        <v>5</v>
      </c>
      <c r="M87" s="66">
        <v>0</v>
      </c>
      <c r="N87" s="68">
        <f t="shared" si="5"/>
        <v>7400</v>
      </c>
      <c r="O87" s="66" t="str">
        <f t="shared" si="6"/>
        <v>Matt</v>
      </c>
      <c r="P87" s="70">
        <f t="shared" si="7"/>
        <v>2601</v>
      </c>
    </row>
    <row r="88" spans="1:16" x14ac:dyDescent="0.25">
      <c r="A88" s="66">
        <v>86</v>
      </c>
      <c r="B88" s="75">
        <v>43412.916412037041</v>
      </c>
      <c r="C88" s="66">
        <v>3000</v>
      </c>
      <c r="D88" s="66">
        <v>0</v>
      </c>
      <c r="E88" s="66">
        <v>6</v>
      </c>
      <c r="F88" s="66">
        <v>0</v>
      </c>
      <c r="G88" s="66">
        <v>-1000</v>
      </c>
      <c r="H88" s="68">
        <f t="shared" si="4"/>
        <v>2000</v>
      </c>
      <c r="I88" s="66">
        <v>4400</v>
      </c>
      <c r="J88" s="66">
        <v>8400</v>
      </c>
      <c r="K88" s="66">
        <v>7</v>
      </c>
      <c r="L88" s="66">
        <v>9</v>
      </c>
      <c r="M88" s="66">
        <v>-200</v>
      </c>
      <c r="N88" s="68">
        <f t="shared" si="5"/>
        <v>12600</v>
      </c>
      <c r="O88" s="66" t="str">
        <f t="shared" si="6"/>
        <v>Jamie</v>
      </c>
      <c r="P88" s="70">
        <f t="shared" si="7"/>
        <v>10600</v>
      </c>
    </row>
    <row r="89" spans="1:16" x14ac:dyDescent="0.25">
      <c r="A89" s="66">
        <v>87</v>
      </c>
      <c r="B89" s="75">
        <v>43412.932314814818</v>
      </c>
      <c r="C89" s="66">
        <v>2600</v>
      </c>
      <c r="D89" s="66">
        <v>3600</v>
      </c>
      <c r="E89" s="66">
        <v>5</v>
      </c>
      <c r="F89" s="66">
        <v>4</v>
      </c>
      <c r="G89" s="66">
        <v>-1000</v>
      </c>
      <c r="H89" s="68">
        <f t="shared" si="4"/>
        <v>5200</v>
      </c>
      <c r="I89" s="66">
        <v>5600</v>
      </c>
      <c r="J89" s="66">
        <v>2000</v>
      </c>
      <c r="K89" s="66">
        <v>9</v>
      </c>
      <c r="L89" s="66">
        <v>2</v>
      </c>
      <c r="M89" s="66">
        <v>1000</v>
      </c>
      <c r="N89" s="68">
        <f t="shared" si="5"/>
        <v>8600</v>
      </c>
      <c r="O89" s="66" t="str">
        <f t="shared" si="6"/>
        <v>Jamie</v>
      </c>
      <c r="P89" s="70">
        <f t="shared" si="7"/>
        <v>3400</v>
      </c>
    </row>
    <row r="90" spans="1:16" x14ac:dyDescent="0.25">
      <c r="A90" s="66">
        <v>88</v>
      </c>
      <c r="B90" s="75">
        <v>43416.834039351852</v>
      </c>
      <c r="C90" s="66">
        <v>400</v>
      </c>
      <c r="D90" s="66">
        <v>5600</v>
      </c>
      <c r="E90" s="66">
        <v>1</v>
      </c>
      <c r="F90" s="66">
        <v>7</v>
      </c>
      <c r="G90" s="66">
        <v>-6000</v>
      </c>
      <c r="H90" s="68">
        <f t="shared" si="4"/>
        <v>0</v>
      </c>
      <c r="I90" s="66">
        <v>2200</v>
      </c>
      <c r="J90" s="66">
        <v>6800</v>
      </c>
      <c r="K90" s="66">
        <v>5</v>
      </c>
      <c r="L90" s="66">
        <v>7</v>
      </c>
      <c r="M90" s="66">
        <v>-1500</v>
      </c>
      <c r="N90" s="68">
        <f t="shared" si="5"/>
        <v>7500</v>
      </c>
      <c r="O90" s="66" t="str">
        <f t="shared" si="6"/>
        <v>Jamie</v>
      </c>
      <c r="P90" s="70">
        <f t="shared" si="7"/>
        <v>7500</v>
      </c>
    </row>
    <row r="91" spans="1:16" x14ac:dyDescent="0.25">
      <c r="A91" s="66">
        <v>89</v>
      </c>
      <c r="B91" s="75">
        <v>43433.823125000003</v>
      </c>
      <c r="C91" s="66">
        <v>800</v>
      </c>
      <c r="D91" s="66">
        <v>10000</v>
      </c>
      <c r="E91" s="66">
        <v>3</v>
      </c>
      <c r="F91" s="66">
        <v>10</v>
      </c>
      <c r="G91" s="66">
        <v>4000</v>
      </c>
      <c r="H91" s="68">
        <f t="shared" si="4"/>
        <v>14800</v>
      </c>
      <c r="I91" s="66">
        <v>5400</v>
      </c>
      <c r="J91" s="66">
        <v>8000</v>
      </c>
      <c r="K91" s="66">
        <v>12</v>
      </c>
      <c r="L91" s="66">
        <v>9</v>
      </c>
      <c r="M91" s="66">
        <v>-3000</v>
      </c>
      <c r="N91" s="68">
        <f t="shared" si="5"/>
        <v>10400</v>
      </c>
      <c r="O91" s="66" t="str">
        <f t="shared" si="6"/>
        <v>Matt</v>
      </c>
      <c r="P91" s="66">
        <f t="shared" si="7"/>
        <v>4400</v>
      </c>
    </row>
    <row r="92" spans="1:16" x14ac:dyDescent="0.25">
      <c r="A92" s="66">
        <v>90</v>
      </c>
      <c r="B92" s="75">
        <v>43433.840138888889</v>
      </c>
      <c r="C92" s="66">
        <v>5000</v>
      </c>
      <c r="D92" s="66">
        <v>9600</v>
      </c>
      <c r="E92" s="66">
        <v>8</v>
      </c>
      <c r="F92" s="66">
        <v>8</v>
      </c>
      <c r="G92" s="66">
        <v>1000</v>
      </c>
      <c r="H92" s="68">
        <f t="shared" si="4"/>
        <v>15600</v>
      </c>
      <c r="I92" s="66">
        <v>4400</v>
      </c>
      <c r="J92" s="66">
        <v>8000</v>
      </c>
      <c r="K92" s="66">
        <v>9</v>
      </c>
      <c r="L92" s="66">
        <v>8</v>
      </c>
      <c r="M92" s="66">
        <v>6000</v>
      </c>
      <c r="N92" s="68">
        <f t="shared" si="5"/>
        <v>18400</v>
      </c>
      <c r="O92" s="66" t="str">
        <f t="shared" si="6"/>
        <v>Jamie</v>
      </c>
      <c r="P92" s="66">
        <f t="shared" si="7"/>
        <v>2800</v>
      </c>
    </row>
    <row r="93" spans="1:16" x14ac:dyDescent="0.25">
      <c r="A93" s="66">
        <v>91</v>
      </c>
      <c r="B93" s="75">
        <v>43458.83084490741</v>
      </c>
      <c r="C93" s="66">
        <v>3600</v>
      </c>
      <c r="D93" s="66">
        <v>4000</v>
      </c>
      <c r="E93" s="66">
        <v>7</v>
      </c>
      <c r="F93" s="66">
        <v>3</v>
      </c>
      <c r="G93" s="66">
        <v>-2000</v>
      </c>
      <c r="H93" s="68">
        <f t="shared" si="4"/>
        <v>5600</v>
      </c>
      <c r="I93" s="66">
        <v>4400</v>
      </c>
      <c r="J93" s="66">
        <v>2800</v>
      </c>
      <c r="K93" s="66">
        <v>8</v>
      </c>
      <c r="L93" s="66">
        <v>4</v>
      </c>
      <c r="M93" s="66">
        <v>1000</v>
      </c>
      <c r="N93" s="68">
        <f t="shared" si="5"/>
        <v>8200</v>
      </c>
      <c r="O93" s="66" t="str">
        <f t="shared" si="6"/>
        <v>Jamie</v>
      </c>
      <c r="P93" s="66">
        <f t="shared" si="7"/>
        <v>2600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TOTAL</vt:lpstr>
      <vt:lpstr>PLAY</vt:lpstr>
      <vt:lpstr>Sheet5</vt:lpstr>
      <vt:lpstr>Record</vt:lpstr>
      <vt:lpstr>Round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thompsonpsu</dc:creator>
  <cp:lastModifiedBy>Matthew Thompson</cp:lastModifiedBy>
  <dcterms:created xsi:type="dcterms:W3CDTF">2017-09-28T00:04:44Z</dcterms:created>
  <dcterms:modified xsi:type="dcterms:W3CDTF">2025-02-25T23:12:54Z</dcterms:modified>
</cp:coreProperties>
</file>